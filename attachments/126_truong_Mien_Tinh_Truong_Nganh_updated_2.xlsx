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Danh sách 126 trường" sheetId="2" state="visible" r:id="rId2"/>
    <sheet xmlns:r="http://schemas.openxmlformats.org/officeDocument/2006/relationships" name="HUST" sheetId="3" state="visible" r:id="rId3"/>
    <sheet xmlns:r="http://schemas.openxmlformats.org/officeDocument/2006/relationships" name="NEU" sheetId="4" state="visible" r:id="rId4"/>
    <sheet xmlns:r="http://schemas.openxmlformats.org/officeDocument/2006/relationships" name="FTU" sheetId="5" state="visible" r:id="rId5"/>
    <sheet xmlns:r="http://schemas.openxmlformats.org/officeDocument/2006/relationships" name="TMU" sheetId="6" state="visible" r:id="rId6"/>
    <sheet xmlns:r="http://schemas.openxmlformats.org/officeDocument/2006/relationships" name="HLU" sheetId="7" state="visible" r:id="rId7"/>
    <sheet xmlns:r="http://schemas.openxmlformats.org/officeDocument/2006/relationships" name="VNU-HUS" sheetId="8" state="visible" r:id="rId8"/>
    <sheet xmlns:r="http://schemas.openxmlformats.org/officeDocument/2006/relationships" name="VNU-UET" sheetId="9" state="visible" r:id="rId9"/>
    <sheet xmlns:r="http://schemas.openxmlformats.org/officeDocument/2006/relationships" name="VNU-UEB" sheetId="10" state="visible" r:id="rId10"/>
    <sheet xmlns:r="http://schemas.openxmlformats.org/officeDocument/2006/relationships" name="VNU-USSH" sheetId="11" state="visible" r:id="rId11"/>
    <sheet xmlns:r="http://schemas.openxmlformats.org/officeDocument/2006/relationships" name="VNU-ULIS" sheetId="12" state="visible" r:id="rId12"/>
    <sheet xmlns:r="http://schemas.openxmlformats.org/officeDocument/2006/relationships" name="VNU-UED" sheetId="13" state="visible" r:id="rId13"/>
    <sheet xmlns:r="http://schemas.openxmlformats.org/officeDocument/2006/relationships" name="HUCE" sheetId="14" state="visible" r:id="rId14"/>
    <sheet xmlns:r="http://schemas.openxmlformats.org/officeDocument/2006/relationships" name="HAU" sheetId="15" state="visible" r:id="rId15"/>
    <sheet xmlns:r="http://schemas.openxmlformats.org/officeDocument/2006/relationships" name="TLU" sheetId="16" state="visible" r:id="rId16"/>
    <sheet xmlns:r="http://schemas.openxmlformats.org/officeDocument/2006/relationships" name="HUMG" sheetId="17" state="visible" r:id="rId17"/>
    <sheet xmlns:r="http://schemas.openxmlformats.org/officeDocument/2006/relationships" name="EPU" sheetId="18" state="visible" r:id="rId18"/>
    <sheet xmlns:r="http://schemas.openxmlformats.org/officeDocument/2006/relationships" name="HaUI" sheetId="19" state="visible" r:id="rId19"/>
    <sheet xmlns:r="http://schemas.openxmlformats.org/officeDocument/2006/relationships" name="PTIT" sheetId="20" state="visible" r:id="rId20"/>
    <sheet xmlns:r="http://schemas.openxmlformats.org/officeDocument/2006/relationships" name="KMA" sheetId="21" state="visible" r:id="rId21"/>
    <sheet xmlns:r="http://schemas.openxmlformats.org/officeDocument/2006/relationships" name="HV Tài chính (AOF)" sheetId="22" state="visible" r:id="rId22"/>
    <sheet xmlns:r="http://schemas.openxmlformats.org/officeDocument/2006/relationships" name="HV Ngân hàng (BA)" sheetId="23" state="visible" r:id="rId23"/>
    <sheet xmlns:r="http://schemas.openxmlformats.org/officeDocument/2006/relationships" name="HV Ngoại giao (DAV)" sheetId="24" state="visible" r:id="rId24"/>
    <sheet xmlns:r="http://schemas.openxmlformats.org/officeDocument/2006/relationships" name="HMU" sheetId="25" state="visible" r:id="rId25"/>
    <sheet xmlns:r="http://schemas.openxmlformats.org/officeDocument/2006/relationships" name="HUP" sheetId="26" state="visible" r:id="rId26"/>
    <sheet xmlns:r="http://schemas.openxmlformats.org/officeDocument/2006/relationships" name="HUPH" sheetId="27" state="visible" r:id="rId27"/>
    <sheet xmlns:r="http://schemas.openxmlformats.org/officeDocument/2006/relationships" name="HUC" sheetId="28" state="visible" r:id="rId28"/>
    <sheet xmlns:r="http://schemas.openxmlformats.org/officeDocument/2006/relationships" name="HOU" sheetId="29" state="visible" r:id="rId29"/>
    <sheet xmlns:r="http://schemas.openxmlformats.org/officeDocument/2006/relationships" name="ULSA" sheetId="30" state="visible" r:id="rId30"/>
    <sheet xmlns:r="http://schemas.openxmlformats.org/officeDocument/2006/relationships" name="UTC" sheetId="31" state="visible" r:id="rId31"/>
    <sheet xmlns:r="http://schemas.openxmlformats.org/officeDocument/2006/relationships" name="USTH" sheetId="32" state="visible" r:id="rId32"/>
    <sheet xmlns:r="http://schemas.openxmlformats.org/officeDocument/2006/relationships" name="Phenikaa" sheetId="33" state="visible" r:id="rId33"/>
    <sheet xmlns:r="http://schemas.openxmlformats.org/officeDocument/2006/relationships" name="Thăng Long" sheetId="34" state="visible" r:id="rId34"/>
    <sheet xmlns:r="http://schemas.openxmlformats.org/officeDocument/2006/relationships" name="CMC" sheetId="35" state="visible" r:id="rId35"/>
    <sheet xmlns:r="http://schemas.openxmlformats.org/officeDocument/2006/relationships" name="Đại Nam" sheetId="36" state="visible" r:id="rId36"/>
    <sheet xmlns:r="http://schemas.openxmlformats.org/officeDocument/2006/relationships" name="HUBT" sheetId="37" state="visible" r:id="rId37"/>
    <sheet xmlns:r="http://schemas.openxmlformats.org/officeDocument/2006/relationships" name="Việt - Hung (VIU)" sheetId="38" state="visible" r:id="rId38"/>
    <sheet xmlns:r="http://schemas.openxmlformats.org/officeDocument/2006/relationships" name="MTA" sheetId="39" state="visible" r:id="rId39"/>
    <sheet xmlns:r="http://schemas.openxmlformats.org/officeDocument/2006/relationships" name="HV Quân y" sheetId="40" state="visible" r:id="rId40"/>
    <sheet xmlns:r="http://schemas.openxmlformats.org/officeDocument/2006/relationships" name="HV KH Quân sự" sheetId="41" state="visible" r:id="rId41"/>
    <sheet xmlns:r="http://schemas.openxmlformats.org/officeDocument/2006/relationships" name="HV Biên phòng" sheetId="42" state="visible" r:id="rId42"/>
    <sheet xmlns:r="http://schemas.openxmlformats.org/officeDocument/2006/relationships" name="HV Hậu cần" sheetId="43" state="visible" r:id="rId43"/>
    <sheet xmlns:r="http://schemas.openxmlformats.org/officeDocument/2006/relationships" name="HV PK-KQ" sheetId="44" state="visible" r:id="rId44"/>
    <sheet xmlns:r="http://schemas.openxmlformats.org/officeDocument/2006/relationships" name="SQ Lục quân 1" sheetId="45" state="visible" r:id="rId45"/>
    <sheet xmlns:r="http://schemas.openxmlformats.org/officeDocument/2006/relationships" name="SQ Đặc công" sheetId="46" state="visible" r:id="rId46"/>
    <sheet xmlns:r="http://schemas.openxmlformats.org/officeDocument/2006/relationships" name="SQ Phòng hóa" sheetId="47" state="visible" r:id="rId47"/>
    <sheet xmlns:r="http://schemas.openxmlformats.org/officeDocument/2006/relationships" name="SQ Pháo binh" sheetId="48" state="visible" r:id="rId48"/>
    <sheet xmlns:r="http://schemas.openxmlformats.org/officeDocument/2006/relationships" name="HV An ninh ND" sheetId="49" state="visible" r:id="rId49"/>
    <sheet xmlns:r="http://schemas.openxmlformats.org/officeDocument/2006/relationships" name="HV Cảnh sát ND" sheetId="50" state="visible" r:id="rId50"/>
    <sheet xmlns:r="http://schemas.openxmlformats.org/officeDocument/2006/relationships" name="HV Chính trị CAND" sheetId="51" state="visible" r:id="rId51"/>
    <sheet xmlns:r="http://schemas.openxmlformats.org/officeDocument/2006/relationships" name="HV KT-CN An ninh" sheetId="52" state="visible" r:id="rId52"/>
    <sheet xmlns:r="http://schemas.openxmlformats.org/officeDocument/2006/relationships" name="ĐH PCCC" sheetId="53" state="visible" r:id="rId53"/>
    <sheet xmlns:r="http://schemas.openxmlformats.org/officeDocument/2006/relationships" name="TUEBA" sheetId="54" state="visible" r:id="rId54"/>
    <sheet xmlns:r="http://schemas.openxmlformats.org/officeDocument/2006/relationships" name="ICTU" sheetId="55" state="visible" r:id="rId55"/>
    <sheet xmlns:r="http://schemas.openxmlformats.org/officeDocument/2006/relationships" name="TNUT" sheetId="56" state="visible" r:id="rId56"/>
    <sheet xmlns:r="http://schemas.openxmlformats.org/officeDocument/2006/relationships" name="TUAF" sheetId="57" state="visible" r:id="rId57"/>
    <sheet xmlns:r="http://schemas.openxmlformats.org/officeDocument/2006/relationships" name="TUMP" sheetId="58" state="visible" r:id="rId58"/>
    <sheet xmlns:r="http://schemas.openxmlformats.org/officeDocument/2006/relationships" name="TNUE" sheetId="59" state="visible" r:id="rId59"/>
    <sheet xmlns:r="http://schemas.openxmlformats.org/officeDocument/2006/relationships" name="ĐH Hải Phòng" sheetId="60" state="visible" r:id="rId60"/>
    <sheet xmlns:r="http://schemas.openxmlformats.org/officeDocument/2006/relationships" name="VMU" sheetId="61" state="visible" r:id="rId61"/>
    <sheet xmlns:r="http://schemas.openxmlformats.org/officeDocument/2006/relationships" name="KT Y tế Hải Dương" sheetId="62" state="visible" r:id="rId62"/>
    <sheet xmlns:r="http://schemas.openxmlformats.org/officeDocument/2006/relationships" name="UTEHY" sheetId="63" state="visible" r:id="rId63"/>
    <sheet xmlns:r="http://schemas.openxmlformats.org/officeDocument/2006/relationships" name="SQ Chính trị" sheetId="64" state="visible" r:id="rId64"/>
    <sheet xmlns:r="http://schemas.openxmlformats.org/officeDocument/2006/relationships" name="SQ Tăng thiết giáp" sheetId="65" state="visible" r:id="rId65"/>
    <sheet xmlns:r="http://schemas.openxmlformats.org/officeDocument/2006/relationships" name="ĐH Hồng Đức" sheetId="66" state="visible" r:id="rId66"/>
    <sheet xmlns:r="http://schemas.openxmlformats.org/officeDocument/2006/relationships" name="ĐH Vinh" sheetId="67" state="visible" r:id="rId67"/>
    <sheet xmlns:r="http://schemas.openxmlformats.org/officeDocument/2006/relationships" name="HUSC" sheetId="68" state="visible" r:id="rId68"/>
    <sheet xmlns:r="http://schemas.openxmlformats.org/officeDocument/2006/relationships" name="HCE" sheetId="69" state="visible" r:id="rId69"/>
    <sheet xmlns:r="http://schemas.openxmlformats.org/officeDocument/2006/relationships" name="HUL" sheetId="70" state="visible" r:id="rId70"/>
    <sheet xmlns:r="http://schemas.openxmlformats.org/officeDocument/2006/relationships" name="ĐHSP Huế" sheetId="71" state="visible" r:id="rId71"/>
    <sheet xmlns:r="http://schemas.openxmlformats.org/officeDocument/2006/relationships" name="Y Dược Huế" sheetId="72" state="visible" r:id="rId72"/>
    <sheet xmlns:r="http://schemas.openxmlformats.org/officeDocument/2006/relationships" name="Nghệ thuật Huế" sheetId="73" state="visible" r:id="rId73"/>
    <sheet xmlns:r="http://schemas.openxmlformats.org/officeDocument/2006/relationships" name="Du lịch Huế" sheetId="74" state="visible" r:id="rId74"/>
    <sheet xmlns:r="http://schemas.openxmlformats.org/officeDocument/2006/relationships" name="Nông Lâm Huế" sheetId="75" state="visible" r:id="rId75"/>
    <sheet xmlns:r="http://schemas.openxmlformats.org/officeDocument/2006/relationships" name="DUT" sheetId="76" state="visible" r:id="rId76"/>
    <sheet xmlns:r="http://schemas.openxmlformats.org/officeDocument/2006/relationships" name="DUE" sheetId="77" state="visible" r:id="rId77"/>
    <sheet xmlns:r="http://schemas.openxmlformats.org/officeDocument/2006/relationships" name="ĐHSP Đà Nẵng" sheetId="78" state="visible" r:id="rId78"/>
    <sheet xmlns:r="http://schemas.openxmlformats.org/officeDocument/2006/relationships" name="Y Dược ĐH Đà Nẵng" sheetId="79" state="visible" r:id="rId79"/>
    <sheet xmlns:r="http://schemas.openxmlformats.org/officeDocument/2006/relationships" name="UFL ĐH Đà Nẵng" sheetId="80" state="visible" r:id="rId80"/>
    <sheet xmlns:r="http://schemas.openxmlformats.org/officeDocument/2006/relationships" name="DTU" sheetId="81" state="visible" r:id="rId81"/>
    <sheet xmlns:r="http://schemas.openxmlformats.org/officeDocument/2006/relationships" name="ĐH Đông Á" sheetId="82" state="visible" r:id="rId82"/>
    <sheet xmlns:r="http://schemas.openxmlformats.org/officeDocument/2006/relationships" name="NTU" sheetId="83" state="visible" r:id="rId83"/>
    <sheet xmlns:r="http://schemas.openxmlformats.org/officeDocument/2006/relationships" name="HV Hải quân" sheetId="84" state="visible" r:id="rId84"/>
    <sheet xmlns:r="http://schemas.openxmlformats.org/officeDocument/2006/relationships" name="SQ Thông tin" sheetId="85" state="visible" r:id="rId85"/>
    <sheet xmlns:r="http://schemas.openxmlformats.org/officeDocument/2006/relationships" name="SQ Không quân" sheetId="86" state="visible" r:id="rId86"/>
    <sheet xmlns:r="http://schemas.openxmlformats.org/officeDocument/2006/relationships" name="QNU" sheetId="87" state="visible" r:id="rId87"/>
    <sheet xmlns:r="http://schemas.openxmlformats.org/officeDocument/2006/relationships" name="DLU" sheetId="88" state="visible" r:id="rId88"/>
    <sheet xmlns:r="http://schemas.openxmlformats.org/officeDocument/2006/relationships" name="ĐH Tây Nguyên" sheetId="89" state="visible" r:id="rId89"/>
    <sheet xmlns:r="http://schemas.openxmlformats.org/officeDocument/2006/relationships" name="HCMUT" sheetId="90" state="visible" r:id="rId90"/>
    <sheet xmlns:r="http://schemas.openxmlformats.org/officeDocument/2006/relationships" name="HCMUS" sheetId="91" state="visible" r:id="rId91"/>
    <sheet xmlns:r="http://schemas.openxmlformats.org/officeDocument/2006/relationships" name="UIT" sheetId="92" state="visible" r:id="rId92"/>
    <sheet xmlns:r="http://schemas.openxmlformats.org/officeDocument/2006/relationships" name="UEL" sheetId="93" state="visible" r:id="rId93"/>
    <sheet xmlns:r="http://schemas.openxmlformats.org/officeDocument/2006/relationships" name="IU (HCMIU)" sheetId="94" state="visible" r:id="rId94"/>
    <sheet xmlns:r="http://schemas.openxmlformats.org/officeDocument/2006/relationships" name="USSH TP.HCM" sheetId="95" state="visible" r:id="rId95"/>
    <sheet xmlns:r="http://schemas.openxmlformats.org/officeDocument/2006/relationships" name="UEH" sheetId="96" state="visible" r:id="rId96"/>
    <sheet xmlns:r="http://schemas.openxmlformats.org/officeDocument/2006/relationships" name="TDTU" sheetId="97" state="visible" r:id="rId97"/>
    <sheet xmlns:r="http://schemas.openxmlformats.org/officeDocument/2006/relationships" name="HCMUE" sheetId="98" state="visible" r:id="rId98"/>
    <sheet xmlns:r="http://schemas.openxmlformats.org/officeDocument/2006/relationships" name="HCMUTE" sheetId="99" state="visible" r:id="rId99"/>
    <sheet xmlns:r="http://schemas.openxmlformats.org/officeDocument/2006/relationships" name="IUH" sheetId="100" state="visible" r:id="rId100"/>
    <sheet xmlns:r="http://schemas.openxmlformats.org/officeDocument/2006/relationships" name="HUIT" sheetId="101" state="visible" r:id="rId101"/>
    <sheet xmlns:r="http://schemas.openxmlformats.org/officeDocument/2006/relationships" name="UTH" sheetId="102" state="visible" r:id="rId102"/>
    <sheet xmlns:r="http://schemas.openxmlformats.org/officeDocument/2006/relationships" name="OU" sheetId="103" state="visible" r:id="rId103"/>
    <sheet xmlns:r="http://schemas.openxmlformats.org/officeDocument/2006/relationships" name="UFM" sheetId="104" state="visible" r:id="rId104"/>
    <sheet xmlns:r="http://schemas.openxmlformats.org/officeDocument/2006/relationships" name="HUB" sheetId="105" state="visible" r:id="rId105"/>
    <sheet xmlns:r="http://schemas.openxmlformats.org/officeDocument/2006/relationships" name="ULAW" sheetId="106" state="visible" r:id="rId106"/>
    <sheet xmlns:r="http://schemas.openxmlformats.org/officeDocument/2006/relationships" name="UAH" sheetId="107" state="visible" r:id="rId107"/>
    <sheet xmlns:r="http://schemas.openxmlformats.org/officeDocument/2006/relationships" name="Mỹ thuật TP.HCM" sheetId="108" state="visible" r:id="rId108"/>
    <sheet xmlns:r="http://schemas.openxmlformats.org/officeDocument/2006/relationships" name="Văn hóa TP.HCM" sheetId="109" state="visible" r:id="rId109"/>
    <sheet xmlns:r="http://schemas.openxmlformats.org/officeDocument/2006/relationships" name="UMP" sheetId="110" state="visible" r:id="rId110"/>
    <sheet xmlns:r="http://schemas.openxmlformats.org/officeDocument/2006/relationships" name="PNT" sheetId="111" state="visible" r:id="rId111"/>
    <sheet xmlns:r="http://schemas.openxmlformats.org/officeDocument/2006/relationships" name="NLU" sheetId="112" state="visible" r:id="rId112"/>
    <sheet xmlns:r="http://schemas.openxmlformats.org/officeDocument/2006/relationships" name="HCMUNRE" sheetId="113" state="visible" r:id="rId113"/>
    <sheet xmlns:r="http://schemas.openxmlformats.org/officeDocument/2006/relationships" name="HUTECH" sheetId="114" state="visible" r:id="rId114"/>
    <sheet xmlns:r="http://schemas.openxmlformats.org/officeDocument/2006/relationships" name="UEF" sheetId="115" state="visible" r:id="rId115"/>
    <sheet xmlns:r="http://schemas.openxmlformats.org/officeDocument/2006/relationships" name="Hoa Sen" sheetId="116" state="visible" r:id="rId116"/>
    <sheet xmlns:r="http://schemas.openxmlformats.org/officeDocument/2006/relationships" name="NTT" sheetId="117" state="visible" r:id="rId117"/>
    <sheet xmlns:r="http://schemas.openxmlformats.org/officeDocument/2006/relationships" name="Văn Lang" sheetId="118" state="visible" r:id="rId118"/>
    <sheet xmlns:r="http://schemas.openxmlformats.org/officeDocument/2006/relationships" name="VGU" sheetId="119" state="visible" r:id="rId119"/>
    <sheet xmlns:r="http://schemas.openxmlformats.org/officeDocument/2006/relationships" name="Thủ Dầu Một" sheetId="120" state="visible" r:id="rId120"/>
    <sheet xmlns:r="http://schemas.openxmlformats.org/officeDocument/2006/relationships" name="SQ Công binh" sheetId="121" state="visible" r:id="rId121"/>
    <sheet xmlns:r="http://schemas.openxmlformats.org/officeDocument/2006/relationships" name="ĐH An ninh ND" sheetId="122" state="visible" r:id="rId122"/>
    <sheet xmlns:r="http://schemas.openxmlformats.org/officeDocument/2006/relationships" name="ĐH Cảnh sát ND" sheetId="123" state="visible" r:id="rId123"/>
    <sheet xmlns:r="http://schemas.openxmlformats.org/officeDocument/2006/relationships" name="Lạc Hồng" sheetId="124" state="visible" r:id="rId124"/>
    <sheet xmlns:r="http://schemas.openxmlformats.org/officeDocument/2006/relationships" name="SQ Lục quân 2" sheetId="125" state="visible" r:id="rId125"/>
    <sheet xmlns:r="http://schemas.openxmlformats.org/officeDocument/2006/relationships" name="CTU" sheetId="126" state="visible" r:id="rId126"/>
    <sheet xmlns:r="http://schemas.openxmlformats.org/officeDocument/2006/relationships" name="SQ KT Quân sự" sheetId="127" state="visible" r:id="rId127"/>
    <sheet xmlns:r="http://schemas.openxmlformats.org/officeDocument/2006/relationships" name="HV Quốc tế (AIS)" sheetId="128" state="visible" r:id="rId128"/>
  </sheets>
  <definedNames>
    <definedName name="_xlnm._FilterDatabase" localSheetId="1" hidden="1">'Danh sách 126 trường'!$A$1:$K$127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4"/>
    </font>
    <font>
      <name val="Arial"/>
      <charset val="1"/>
      <family val="0"/>
      <i val="1"/>
      <color rgb="FF0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2E75B6"/>
      <sz val="11"/>
    </font>
    <font>
      <name val="Arial"/>
      <charset val="1"/>
      <family val="0"/>
      <b val="1"/>
      <color rgb="FF2E75B6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563C1"/>
      <sz val="10"/>
      <u val="single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548235"/>
      <sz val="11"/>
    </font>
    <font>
      <name val="Arial"/>
      <charset val="1"/>
      <family val="0"/>
      <b val="1"/>
      <color rgb="FF548235"/>
      <sz val="10"/>
    </font>
    <font>
      <name val="Arial"/>
      <charset val="1"/>
      <family val="0"/>
      <b val="1"/>
      <color rgb="FFC55A11"/>
      <sz val="11"/>
    </font>
    <font>
      <name val="Arial"/>
      <charset val="1"/>
      <family val="0"/>
      <b val="1"/>
      <color rgb="FFC55A11"/>
      <sz val="10"/>
    </font>
    <font>
      <name val="Arial"/>
      <charset val="1"/>
      <family val="0"/>
      <b val="1"/>
      <color rgb="FF7F7F7F"/>
      <sz val="11"/>
    </font>
    <font>
      <name val="Arial"/>
      <charset val="1"/>
      <family val="0"/>
      <b val="1"/>
      <color rgb="FF7F7F7F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000000"/>
      <sz val="13"/>
    </font>
  </fonts>
  <fills count="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E1F2"/>
      </patternFill>
    </fill>
    <fill>
      <patternFill patternType="solid">
        <fgColor rgb="FFF2F2F2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D9E1F2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 indent="1"/>
    </xf>
    <xf numFmtId="0" fontId="9" fillId="4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 wrapText="1" indent="3"/>
    </xf>
    <xf numFmtId="0" fontId="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bottom"/>
    </xf>
    <xf numFmtId="0" fontId="13" fillId="5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0" fontId="15" fillId="6" borderId="1" applyAlignment="1" pivotButton="0" quotePrefix="0" xfId="0">
      <alignment horizontal="center" vertical="bottom"/>
    </xf>
    <xf numFmtId="0" fontId="0" fillId="6" borderId="1" applyAlignment="1" pivotButton="0" quotePrefix="0" xfId="0">
      <alignment horizontal="general" vertical="bottom"/>
    </xf>
    <xf numFmtId="0" fontId="16" fillId="7" borderId="1" applyAlignment="1" pivotButton="0" quotePrefix="0" xfId="0">
      <alignment horizontal="general" vertical="bottom"/>
    </xf>
    <xf numFmtId="0" fontId="17" fillId="7" borderId="1" applyAlignment="1" pivotButton="0" quotePrefix="0" xfId="0">
      <alignment horizontal="center" vertical="bottom"/>
    </xf>
    <xf numFmtId="0" fontId="0" fillId="7" borderId="1" applyAlignment="1" pivotButton="0" quotePrefix="0" xfId="0">
      <alignment horizontal="general" vertical="bottom"/>
    </xf>
    <xf numFmtId="0" fontId="18" fillId="8" borderId="1" applyAlignment="1" pivotButton="0" quotePrefix="0" xfId="0">
      <alignment horizontal="general" vertical="bottom"/>
    </xf>
    <xf numFmtId="0" fontId="18" fillId="8" borderId="1" applyAlignment="1" pivotButton="0" quotePrefix="0" xfId="0">
      <alignment horizontal="center" vertical="bottom"/>
    </xf>
    <xf numFmtId="0" fontId="0" fillId="8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 indent="1"/>
    </xf>
    <xf numFmtId="0" fontId="9" fillId="4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 wrapText="1" indent="3"/>
    </xf>
    <xf numFmtId="0" fontId="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bottom"/>
    </xf>
    <xf numFmtId="0" fontId="13" fillId="5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0" fontId="15" fillId="6" borderId="1" applyAlignment="1" pivotButton="0" quotePrefix="0" xfId="0">
      <alignment horizontal="center" vertical="bottom"/>
    </xf>
    <xf numFmtId="0" fontId="0" fillId="6" borderId="1" applyAlignment="1" pivotButton="0" quotePrefix="0" xfId="0">
      <alignment horizontal="general" vertical="bottom"/>
    </xf>
    <xf numFmtId="0" fontId="16" fillId="7" borderId="1" applyAlignment="1" pivotButton="0" quotePrefix="0" xfId="0">
      <alignment horizontal="general" vertical="bottom"/>
    </xf>
    <xf numFmtId="0" fontId="17" fillId="7" borderId="1" applyAlignment="1" pivotButton="0" quotePrefix="0" xfId="0">
      <alignment horizontal="center" vertical="bottom"/>
    </xf>
    <xf numFmtId="0" fontId="0" fillId="7" borderId="1" applyAlignment="1" pivotButton="0" quotePrefix="0" xfId="0">
      <alignment horizontal="general" vertical="bottom"/>
    </xf>
    <xf numFmtId="0" fontId="18" fillId="8" borderId="1" applyAlignment="1" pivotButton="0" quotePrefix="0" xfId="0">
      <alignment horizontal="general" vertical="bottom"/>
    </xf>
    <xf numFmtId="0" fontId="18" fillId="8" borderId="1" applyAlignment="1" pivotButton="0" quotePrefix="0" xfId="0">
      <alignment horizontal="center" vertical="bottom"/>
    </xf>
    <xf numFmtId="0" fontId="0" fillId="8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2F2F2"/>
      <rgbColor rgb="FFDDEBF7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styles" Target="styles.xml" Id="rId129"/><Relationship Type="http://schemas.openxmlformats.org/officeDocument/2006/relationships/theme" Target="theme/theme1.xml" Id="rId13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ust.edu.vn/" TargetMode="External" Id="rId2"/><Relationship Type="http://schemas.openxmlformats.org/officeDocument/2006/relationships/hyperlink" Target="https://ts.hust.edu.vn/" TargetMode="External" Id="rId3"/><Relationship Type="http://schemas.openxmlformats.org/officeDocument/2006/relationships/hyperlink" Target="126_truong_Mien_Tinh_Truong_Nganh.xlsx" TargetMode="External" Id="rId4"/><Relationship Type="http://schemas.openxmlformats.org/officeDocument/2006/relationships/hyperlink" Target="https://neu.edu.vn/" TargetMode="External" Id="rId5"/><Relationship Type="http://schemas.openxmlformats.org/officeDocument/2006/relationships/hyperlink" Target="https://daotao.neu.edu.vn/" TargetMode="External" Id="rId6"/><Relationship Type="http://schemas.openxmlformats.org/officeDocument/2006/relationships/hyperlink" Target="126_truong_Mien_Tinh_Truong_Nganh.xlsx" TargetMode="External" Id="rId7"/><Relationship Type="http://schemas.openxmlformats.org/officeDocument/2006/relationships/hyperlink" Target="https://ftu.edu.vn/" TargetMode="External" Id="rId8"/><Relationship Type="http://schemas.openxmlformats.org/officeDocument/2006/relationships/hyperlink" Target="https://tuyensinh.ftu.edu.vn/" TargetMode="External" Id="rId9"/><Relationship Type="http://schemas.openxmlformats.org/officeDocument/2006/relationships/hyperlink" Target="126_truong_Mien_Tinh_Truong_Nganh.xlsx" TargetMode="External" Id="rId10"/><Relationship Type="http://schemas.openxmlformats.org/officeDocument/2006/relationships/hyperlink" Target="https://tmu.edu.vn/" TargetMode="External" Id="rId11"/><Relationship Type="http://schemas.openxmlformats.org/officeDocument/2006/relationships/hyperlink" Target="https://tuyensinh.tmu.edu.vn/" TargetMode="External" Id="rId12"/><Relationship Type="http://schemas.openxmlformats.org/officeDocument/2006/relationships/hyperlink" Target="126_truong_Mien_Tinh_Truong_Nganh.xlsx" TargetMode="External" Id="rId13"/><Relationship Type="http://schemas.openxmlformats.org/officeDocument/2006/relationships/hyperlink" Target="https://hlu.edu.vn/" TargetMode="External" Id="rId14"/><Relationship Type="http://schemas.openxmlformats.org/officeDocument/2006/relationships/hyperlink" Target="https://tuyensinh.hlu.edu.vn/" TargetMode="External" Id="rId15"/><Relationship Type="http://schemas.openxmlformats.org/officeDocument/2006/relationships/hyperlink" Target="126_truong_Mien_Tinh_Truong_Nganh.xlsx" TargetMode="External" Id="rId16"/><Relationship Type="http://schemas.openxmlformats.org/officeDocument/2006/relationships/hyperlink" Target="https://hus.vnu.edu.vn/" TargetMode="External" Id="rId17"/><Relationship Type="http://schemas.openxmlformats.org/officeDocument/2006/relationships/hyperlink" Target="https://tuyensinh.hus.vnu.edu.vn/" TargetMode="External" Id="rId18"/><Relationship Type="http://schemas.openxmlformats.org/officeDocument/2006/relationships/hyperlink" Target="126_truong_Mien_Tinh_Truong_Nganh.xlsx" TargetMode="External" Id="rId19"/><Relationship Type="http://schemas.openxmlformats.org/officeDocument/2006/relationships/hyperlink" Target="https://uet.vnu.edu.vn/" TargetMode="External" Id="rId20"/><Relationship Type="http://schemas.openxmlformats.org/officeDocument/2006/relationships/hyperlink" Target="https://tuyensinh.uet.vnu.edu.vn/" TargetMode="External" Id="rId21"/><Relationship Type="http://schemas.openxmlformats.org/officeDocument/2006/relationships/hyperlink" Target="126_truong_Mien_Tinh_Truong_Nganh.xlsx" TargetMode="External" Id="rId22"/><Relationship Type="http://schemas.openxmlformats.org/officeDocument/2006/relationships/hyperlink" Target="https://ueb.vnu.edu.vn/" TargetMode="External" Id="rId23"/><Relationship Type="http://schemas.openxmlformats.org/officeDocument/2006/relationships/hyperlink" Target="https://tuyensinh.ueb.edu.vn/" TargetMode="External" Id="rId24"/><Relationship Type="http://schemas.openxmlformats.org/officeDocument/2006/relationships/hyperlink" Target="126_truong_Mien_Tinh_Truong_Nganh.xlsx" TargetMode="External" Id="rId25"/><Relationship Type="http://schemas.openxmlformats.org/officeDocument/2006/relationships/hyperlink" Target="https://ussh.vnu.edu.vn/" TargetMode="External" Id="rId26"/><Relationship Type="http://schemas.openxmlformats.org/officeDocument/2006/relationships/hyperlink" Target="https://tuyensinh.ussh.edu.vn/" TargetMode="External" Id="rId27"/><Relationship Type="http://schemas.openxmlformats.org/officeDocument/2006/relationships/hyperlink" Target="126_truong_Mien_Tinh_Truong_Nganh.xlsx" TargetMode="External" Id="rId28"/><Relationship Type="http://schemas.openxmlformats.org/officeDocument/2006/relationships/hyperlink" Target="https://ulis.vnu.edu.vn/" TargetMode="External" Id="rId29"/><Relationship Type="http://schemas.openxmlformats.org/officeDocument/2006/relationships/hyperlink" Target="https://tuyensinh.ulis.vnu.edu.vn/" TargetMode="External" Id="rId30"/><Relationship Type="http://schemas.openxmlformats.org/officeDocument/2006/relationships/hyperlink" Target="126_truong_Mien_Tinh_Truong_Nganh.xlsx" TargetMode="External" Id="rId31"/><Relationship Type="http://schemas.openxmlformats.org/officeDocument/2006/relationships/hyperlink" Target="https://education.vnu.edu.vn/" TargetMode="External" Id="rId32"/><Relationship Type="http://schemas.openxmlformats.org/officeDocument/2006/relationships/hyperlink" Target="https://education.vnu.edu.vn/" TargetMode="External" Id="rId33"/><Relationship Type="http://schemas.openxmlformats.org/officeDocument/2006/relationships/hyperlink" Target="126_truong_Mien_Tinh_Truong_Nganh.xlsx" TargetMode="External" Id="rId34"/><Relationship Type="http://schemas.openxmlformats.org/officeDocument/2006/relationships/hyperlink" Target="https://huce.edu.vn/" TargetMode="External" Id="rId35"/><Relationship Type="http://schemas.openxmlformats.org/officeDocument/2006/relationships/hyperlink" Target="https://tuyensinh.huce.edu.vn/" TargetMode="External" Id="rId36"/><Relationship Type="http://schemas.openxmlformats.org/officeDocument/2006/relationships/hyperlink" Target="126_truong_Mien_Tinh_Truong_Nganh.xlsx" TargetMode="External" Id="rId37"/><Relationship Type="http://schemas.openxmlformats.org/officeDocument/2006/relationships/hyperlink" Target="https://hau.edu.vn/" TargetMode="External" Id="rId38"/><Relationship Type="http://schemas.openxmlformats.org/officeDocument/2006/relationships/hyperlink" Target="https://tuyensinh.hau.edu.vn/" TargetMode="External" Id="rId39"/><Relationship Type="http://schemas.openxmlformats.org/officeDocument/2006/relationships/hyperlink" Target="126_truong_Mien_Tinh_Truong_Nganh.xlsx" TargetMode="External" Id="rId40"/><Relationship Type="http://schemas.openxmlformats.org/officeDocument/2006/relationships/hyperlink" Target="https://tlu.edu.vn/" TargetMode="External" Id="rId41"/><Relationship Type="http://schemas.openxmlformats.org/officeDocument/2006/relationships/hyperlink" Target="https://tuyensinh.tlu.edu.vn/" TargetMode="External" Id="rId42"/><Relationship Type="http://schemas.openxmlformats.org/officeDocument/2006/relationships/hyperlink" Target="126_truong_Mien_Tinh_Truong_Nganh.xlsx" TargetMode="External" Id="rId43"/><Relationship Type="http://schemas.openxmlformats.org/officeDocument/2006/relationships/hyperlink" Target="https://humg.edu.vn/" TargetMode="External" Id="rId44"/><Relationship Type="http://schemas.openxmlformats.org/officeDocument/2006/relationships/hyperlink" Target="https://tuyensinh.humg.edu.vn/" TargetMode="External" Id="rId45"/><Relationship Type="http://schemas.openxmlformats.org/officeDocument/2006/relationships/hyperlink" Target="126_truong_Mien_Tinh_Truong_Nganh.xlsx" TargetMode="External" Id="rId46"/><Relationship Type="http://schemas.openxmlformats.org/officeDocument/2006/relationships/hyperlink" Target="https://epu.edu.vn/" TargetMode="External" Id="rId47"/><Relationship Type="http://schemas.openxmlformats.org/officeDocument/2006/relationships/hyperlink" Target="https://tuyensinh.epu.edu.vn/" TargetMode="External" Id="rId48"/><Relationship Type="http://schemas.openxmlformats.org/officeDocument/2006/relationships/hyperlink" Target="126_truong_Mien_Tinh_Truong_Nganh.xlsx" TargetMode="External" Id="rId49"/><Relationship Type="http://schemas.openxmlformats.org/officeDocument/2006/relationships/hyperlink" Target="https://haui.edu.vn/" TargetMode="External" Id="rId50"/><Relationship Type="http://schemas.openxmlformats.org/officeDocument/2006/relationships/hyperlink" Target="https://tuyensinh.haui.edu.vn/" TargetMode="External" Id="rId51"/><Relationship Type="http://schemas.openxmlformats.org/officeDocument/2006/relationships/hyperlink" Target="126_truong_Mien_Tinh_Truong_Nganh.xlsx" TargetMode="External" Id="rId52"/><Relationship Type="http://schemas.openxmlformats.org/officeDocument/2006/relationships/hyperlink" Target="https://ptit.edu.vn/" TargetMode="External" Id="rId53"/><Relationship Type="http://schemas.openxmlformats.org/officeDocument/2006/relationships/hyperlink" Target="https://tuyensinh.ptit.edu.vn/" TargetMode="External" Id="rId54"/><Relationship Type="http://schemas.openxmlformats.org/officeDocument/2006/relationships/hyperlink" Target="126_truong_Mien_Tinh_Truong_Nganh.xlsx" TargetMode="External" Id="rId55"/><Relationship Type="http://schemas.openxmlformats.org/officeDocument/2006/relationships/hyperlink" Target="https://actvn.edu.vn/" TargetMode="External" Id="rId56"/><Relationship Type="http://schemas.openxmlformats.org/officeDocument/2006/relationships/hyperlink" Target="https://tuyensinh.actvn.edu.vn/" TargetMode="External" Id="rId57"/><Relationship Type="http://schemas.openxmlformats.org/officeDocument/2006/relationships/hyperlink" Target="126_truong_Mien_Tinh_Truong_Nganh.xlsx" TargetMode="External" Id="rId58"/><Relationship Type="http://schemas.openxmlformats.org/officeDocument/2006/relationships/hyperlink" Target="https://hvtc.edu.vn/" TargetMode="External" Id="rId59"/><Relationship Type="http://schemas.openxmlformats.org/officeDocument/2006/relationships/hyperlink" Target="https://tuyensinh.hvtc.edu.vn/" TargetMode="External" Id="rId60"/><Relationship Type="http://schemas.openxmlformats.org/officeDocument/2006/relationships/hyperlink" Target="126_truong_Mien_Tinh_Truong_Nganh.xlsx" TargetMode="External" Id="rId61"/><Relationship Type="http://schemas.openxmlformats.org/officeDocument/2006/relationships/hyperlink" Target="https://hvnh.edu.vn/" TargetMode="External" Id="rId62"/><Relationship Type="http://schemas.openxmlformats.org/officeDocument/2006/relationships/hyperlink" Target="https://tuyensinh.hvnh.edu.vn/" TargetMode="External" Id="rId63"/><Relationship Type="http://schemas.openxmlformats.org/officeDocument/2006/relationships/hyperlink" Target="126_truong_Mien_Tinh_Truong_Nganh.xlsx" TargetMode="External" Id="rId64"/><Relationship Type="http://schemas.openxmlformats.org/officeDocument/2006/relationships/hyperlink" Target="https://dav.edu.vn/" TargetMode="External" Id="rId65"/><Relationship Type="http://schemas.openxmlformats.org/officeDocument/2006/relationships/hyperlink" Target="https://tuyensinh.dav.edu.vn/" TargetMode="External" Id="rId66"/><Relationship Type="http://schemas.openxmlformats.org/officeDocument/2006/relationships/hyperlink" Target="126_truong_Mien_Tinh_Truong_Nganh.xlsx" TargetMode="External" Id="rId67"/><Relationship Type="http://schemas.openxmlformats.org/officeDocument/2006/relationships/hyperlink" Target="https://hmu.edu.vn/" TargetMode="External" Id="rId68"/><Relationship Type="http://schemas.openxmlformats.org/officeDocument/2006/relationships/hyperlink" Target="https://hmu.edu.vn/" TargetMode="External" Id="rId69"/><Relationship Type="http://schemas.openxmlformats.org/officeDocument/2006/relationships/hyperlink" Target="126_truong_Mien_Tinh_Truong_Nganh.xlsx" TargetMode="External" Id="rId70"/><Relationship Type="http://schemas.openxmlformats.org/officeDocument/2006/relationships/hyperlink" Target="https://hup.edu.vn/" TargetMode="External" Id="rId71"/><Relationship Type="http://schemas.openxmlformats.org/officeDocument/2006/relationships/hyperlink" Target="https://tuyensinh.hup.edu.vn/" TargetMode="External" Id="rId72"/><Relationship Type="http://schemas.openxmlformats.org/officeDocument/2006/relationships/hyperlink" Target="126_truong_Mien_Tinh_Truong_Nganh.xlsx" TargetMode="External" Id="rId73"/><Relationship Type="http://schemas.openxmlformats.org/officeDocument/2006/relationships/hyperlink" Target="https://huph.edu.vn/" TargetMode="External" Id="rId74"/><Relationship Type="http://schemas.openxmlformats.org/officeDocument/2006/relationships/hyperlink" Target="https://tuyensinh.huph.edu.vn/" TargetMode="External" Id="rId75"/><Relationship Type="http://schemas.openxmlformats.org/officeDocument/2006/relationships/hyperlink" Target="126_truong_Mien_Tinh_Truong_Nganh.xlsx" TargetMode="External" Id="rId76"/><Relationship Type="http://schemas.openxmlformats.org/officeDocument/2006/relationships/hyperlink" Target="https://huc.edu.vn/" TargetMode="External" Id="rId77"/><Relationship Type="http://schemas.openxmlformats.org/officeDocument/2006/relationships/hyperlink" Target="https://tuyensinh.huc.edu.vn/" TargetMode="External" Id="rId78"/><Relationship Type="http://schemas.openxmlformats.org/officeDocument/2006/relationships/hyperlink" Target="126_truong_Mien_Tinh_Truong_Nganh.xlsx" TargetMode="External" Id="rId79"/><Relationship Type="http://schemas.openxmlformats.org/officeDocument/2006/relationships/hyperlink" Target="https://hou.edu.vn/" TargetMode="External" Id="rId80"/><Relationship Type="http://schemas.openxmlformats.org/officeDocument/2006/relationships/hyperlink" Target="https://tuyensinh.hou.edu.vn/" TargetMode="External" Id="rId81"/><Relationship Type="http://schemas.openxmlformats.org/officeDocument/2006/relationships/hyperlink" Target="126_truong_Mien_Tinh_Truong_Nganh.xlsx" TargetMode="External" Id="rId82"/><Relationship Type="http://schemas.openxmlformats.org/officeDocument/2006/relationships/hyperlink" Target="https://ulsa.edu.vn/" TargetMode="External" Id="rId83"/><Relationship Type="http://schemas.openxmlformats.org/officeDocument/2006/relationships/hyperlink" Target="https://tuyensinh.ulsa.edu.vn/" TargetMode="External" Id="rId84"/><Relationship Type="http://schemas.openxmlformats.org/officeDocument/2006/relationships/hyperlink" Target="126_truong_Mien_Tinh_Truong_Nganh.xlsx" TargetMode="External" Id="rId85"/><Relationship Type="http://schemas.openxmlformats.org/officeDocument/2006/relationships/hyperlink" Target="https://utc.edu.vn/" TargetMode="External" Id="rId86"/><Relationship Type="http://schemas.openxmlformats.org/officeDocument/2006/relationships/hyperlink" Target="https://tuyensinh.utc.edu.vn/" TargetMode="External" Id="rId87"/><Relationship Type="http://schemas.openxmlformats.org/officeDocument/2006/relationships/hyperlink" Target="126_truong_Mien_Tinh_Truong_Nganh.xlsx" TargetMode="External" Id="rId88"/><Relationship Type="http://schemas.openxmlformats.org/officeDocument/2006/relationships/hyperlink" Target="https://usth.edu.vn/" TargetMode="External" Id="rId89"/><Relationship Type="http://schemas.openxmlformats.org/officeDocument/2006/relationships/hyperlink" Target="https://tuyensinh.usth.edu.vn/" TargetMode="External" Id="rId90"/><Relationship Type="http://schemas.openxmlformats.org/officeDocument/2006/relationships/hyperlink" Target="126_truong_Mien_Tinh_Truong_Nganh.xlsx" TargetMode="External" Id="rId91"/><Relationship Type="http://schemas.openxmlformats.org/officeDocument/2006/relationships/hyperlink" Target="https://phenikaa-uni.edu.vn/" TargetMode="External" Id="rId92"/><Relationship Type="http://schemas.openxmlformats.org/officeDocument/2006/relationships/hyperlink" Target="https://tuyensinh.phenikaa-uni.edu.vn/" TargetMode="External" Id="rId93"/><Relationship Type="http://schemas.openxmlformats.org/officeDocument/2006/relationships/hyperlink" Target="126_truong_Mien_Tinh_Truong_Nganh.xlsx" TargetMode="External" Id="rId94"/><Relationship Type="http://schemas.openxmlformats.org/officeDocument/2006/relationships/hyperlink" Target="https://thanglong.edu.vn/" TargetMode="External" Id="rId95"/><Relationship Type="http://schemas.openxmlformats.org/officeDocument/2006/relationships/hyperlink" Target="https://tuyensinh.thanglong.edu.vn/" TargetMode="External" Id="rId96"/><Relationship Type="http://schemas.openxmlformats.org/officeDocument/2006/relationships/hyperlink" Target="126_truong_Mien_Tinh_Truong_Nganh.xlsx" TargetMode="External" Id="rId97"/><Relationship Type="http://schemas.openxmlformats.org/officeDocument/2006/relationships/hyperlink" Target="https://cmc-u.edu.vn/" TargetMode="External" Id="rId98"/><Relationship Type="http://schemas.openxmlformats.org/officeDocument/2006/relationships/hyperlink" Target="https://tuyensinh.cmc-u.edu.vn/" TargetMode="External" Id="rId99"/><Relationship Type="http://schemas.openxmlformats.org/officeDocument/2006/relationships/hyperlink" Target="126_truong_Mien_Tinh_Truong_Nganh.xlsx" TargetMode="External" Id="rId100"/><Relationship Type="http://schemas.openxmlformats.org/officeDocument/2006/relationships/hyperlink" Target="https://dainam.edu.vn/" TargetMode="External" Id="rId101"/><Relationship Type="http://schemas.openxmlformats.org/officeDocument/2006/relationships/hyperlink" Target="https://tuyensinh.dainam.edu.vn/" TargetMode="External" Id="rId102"/><Relationship Type="http://schemas.openxmlformats.org/officeDocument/2006/relationships/hyperlink" Target="126_truong_Mien_Tinh_Truong_Nganh.xlsx" TargetMode="External" Id="rId103"/><Relationship Type="http://schemas.openxmlformats.org/officeDocument/2006/relationships/hyperlink" Target="https://hubt.edu.vn/" TargetMode="External" Id="rId104"/><Relationship Type="http://schemas.openxmlformats.org/officeDocument/2006/relationships/hyperlink" Target="https://tuyensinh.hubt.edu.vn/" TargetMode="External" Id="rId105"/><Relationship Type="http://schemas.openxmlformats.org/officeDocument/2006/relationships/hyperlink" Target="126_truong_Mien_Tinh_Truong_Nganh.xlsx" TargetMode="External" Id="rId106"/><Relationship Type="http://schemas.openxmlformats.org/officeDocument/2006/relationships/hyperlink" Target="https://viu.edu.vn/" TargetMode="External" Id="rId107"/><Relationship Type="http://schemas.openxmlformats.org/officeDocument/2006/relationships/hyperlink" Target="https://tuyensinh.viu.edu.vn/" TargetMode="External" Id="rId108"/><Relationship Type="http://schemas.openxmlformats.org/officeDocument/2006/relationships/hyperlink" Target="126_truong_Mien_Tinh_Truong_Nganh.xlsx" TargetMode="External" Id="rId109"/><Relationship Type="http://schemas.openxmlformats.org/officeDocument/2006/relationships/hyperlink" Target="https://mta.edu.vn/" TargetMode="External" Id="rId110"/><Relationship Type="http://schemas.openxmlformats.org/officeDocument/2006/relationships/hyperlink" Target="https://mta.edu.vn/" TargetMode="External" Id="rId111"/><Relationship Type="http://schemas.openxmlformats.org/officeDocument/2006/relationships/hyperlink" Target="126_truong_Mien_Tinh_Truong_Nganh.xlsx" TargetMode="External" Id="rId112"/><Relationship Type="http://schemas.openxmlformats.org/officeDocument/2006/relationships/hyperlink" Target="https://hvqy.edu.vn/" TargetMode="External" Id="rId113"/><Relationship Type="http://schemas.openxmlformats.org/officeDocument/2006/relationships/hyperlink" Target="https://tuyensinh.hvqy.edu.vn/" TargetMode="External" Id="rId114"/><Relationship Type="http://schemas.openxmlformats.org/officeDocument/2006/relationships/hyperlink" Target="126_truong_Mien_Tinh_Truong_Nganh.xlsx" TargetMode="External" Id="rId115"/><Relationship Type="http://schemas.openxmlformats.org/officeDocument/2006/relationships/hyperlink" Target="https://hocvienkhoahocquan.su.edu.vn/" TargetMode="External" Id="rId116"/><Relationship Type="http://schemas.openxmlformats.org/officeDocument/2006/relationships/hyperlink" Target="126_truong_Mien_Tinh_Truong_Nganh.xlsx" TargetMode="External" Id="rId117"/><Relationship Type="http://schemas.openxmlformats.org/officeDocument/2006/relationships/hyperlink" Target="https://hocvienbienphong.edu.vn/" TargetMode="External" Id="rId118"/><Relationship Type="http://schemas.openxmlformats.org/officeDocument/2006/relationships/hyperlink" Target="126_truong_Mien_Tinh_Truong_Nganh.xlsx" TargetMode="External" Id="rId119"/><Relationship Type="http://schemas.openxmlformats.org/officeDocument/2006/relationships/hyperlink" Target="https://hocvienhaucan.edu.vn/" TargetMode="External" Id="rId120"/><Relationship Type="http://schemas.openxmlformats.org/officeDocument/2006/relationships/hyperlink" Target="126_truong_Mien_Tinh_Truong_Nganh.xlsx" TargetMode="External" Id="rId121"/><Relationship Type="http://schemas.openxmlformats.org/officeDocument/2006/relationships/hyperlink" Target="https://hocvienpkkq.edu.vn/" TargetMode="External" Id="rId122"/><Relationship Type="http://schemas.openxmlformats.org/officeDocument/2006/relationships/hyperlink" Target="126_truong_Mien_Tinh_Truong_Nganh.xlsx" TargetMode="External" Id="rId123"/><Relationship Type="http://schemas.openxmlformats.org/officeDocument/2006/relationships/hyperlink" Target="https://truongsq1.edu.vn/" TargetMode="External" Id="rId124"/><Relationship Type="http://schemas.openxmlformats.org/officeDocument/2006/relationships/hyperlink" Target="126_truong_Mien_Tinh_Truong_Nganh.xlsx" TargetMode="External" Id="rId125"/><Relationship Type="http://schemas.openxmlformats.org/officeDocument/2006/relationships/hyperlink" Target="https://truongdaccong.edu.vn/" TargetMode="External" Id="rId126"/><Relationship Type="http://schemas.openxmlformats.org/officeDocument/2006/relationships/hyperlink" Target="126_truong_Mien_Tinh_Truong_Nganh.xlsx" TargetMode="External" Id="rId127"/><Relationship Type="http://schemas.openxmlformats.org/officeDocument/2006/relationships/hyperlink" Target="https://truongphonghoa.edu.vn/" TargetMode="External" Id="rId128"/><Relationship Type="http://schemas.openxmlformats.org/officeDocument/2006/relationships/hyperlink" Target="126_truong_Mien_Tinh_Truong_Nganh.xlsx" TargetMode="External" Id="rId129"/><Relationship Type="http://schemas.openxmlformats.org/officeDocument/2006/relationships/hyperlink" Target="https://truongphaobinh.edu.vn/" TargetMode="External" Id="rId130"/><Relationship Type="http://schemas.openxmlformats.org/officeDocument/2006/relationships/hyperlink" Target="126_truong_Mien_Tinh_Truong_Nganh.xlsx" TargetMode="External" Id="rId131"/><Relationship Type="http://schemas.openxmlformats.org/officeDocument/2006/relationships/hyperlink" Target="https://hvanninh.edu.vn/" TargetMode="External" Id="rId132"/><Relationship Type="http://schemas.openxmlformats.org/officeDocument/2006/relationships/hyperlink" Target="https://tuyensinh.hvanninh.edu.vn/" TargetMode="External" Id="rId133"/><Relationship Type="http://schemas.openxmlformats.org/officeDocument/2006/relationships/hyperlink" Target="126_truong_Mien_Tinh_Truong_Nganh.xlsx" TargetMode="External" Id="rId134"/><Relationship Type="http://schemas.openxmlformats.org/officeDocument/2006/relationships/hyperlink" Target="https://hvcsnd.edu.vn/" TargetMode="External" Id="rId135"/><Relationship Type="http://schemas.openxmlformats.org/officeDocument/2006/relationships/hyperlink" Target="https://tuyensinh.hvcsnd.edu.vn/" TargetMode="External" Id="rId136"/><Relationship Type="http://schemas.openxmlformats.org/officeDocument/2006/relationships/hyperlink" Target="126_truong_Mien_Tinh_Truong_Nganh.xlsx" TargetMode="External" Id="rId137"/><Relationship Type="http://schemas.openxmlformats.org/officeDocument/2006/relationships/hyperlink" Target="https://hocvienchinhtricand.edu.vn/" TargetMode="External" Id="rId138"/><Relationship Type="http://schemas.openxmlformats.org/officeDocument/2006/relationships/hyperlink" Target="126_truong_Mien_Tinh_Truong_Nganh.xlsx" TargetMode="External" Id="rId139"/><Relationship Type="http://schemas.openxmlformats.org/officeDocument/2006/relationships/hyperlink" Target="https://hocvienkythuatanninh.edu.vn/" TargetMode="External" Id="rId140"/><Relationship Type="http://schemas.openxmlformats.org/officeDocument/2006/relationships/hyperlink" Target="126_truong_Mien_Tinh_Truong_Nganh.xlsx" TargetMode="External" Id="rId141"/><Relationship Type="http://schemas.openxmlformats.org/officeDocument/2006/relationships/hyperlink" Target="https://daihocpccc.edu.vn/" TargetMode="External" Id="rId142"/><Relationship Type="http://schemas.openxmlformats.org/officeDocument/2006/relationships/hyperlink" Target="https://tuyensinh.daihocpccc.edu.vn/" TargetMode="External" Id="rId143"/><Relationship Type="http://schemas.openxmlformats.org/officeDocument/2006/relationships/hyperlink" Target="126_truong_Mien_Tinh_Truong_Nganh.xlsx" TargetMode="External" Id="rId144"/><Relationship Type="http://schemas.openxmlformats.org/officeDocument/2006/relationships/hyperlink" Target="https://tueba.edu.vn/" TargetMode="External" Id="rId145"/><Relationship Type="http://schemas.openxmlformats.org/officeDocument/2006/relationships/hyperlink" Target="https://tuyensinh.tueba.edu.vn/" TargetMode="External" Id="rId146"/><Relationship Type="http://schemas.openxmlformats.org/officeDocument/2006/relationships/hyperlink" Target="126_truong_Mien_Tinh_Truong_Nganh.xlsx" TargetMode="External" Id="rId147"/><Relationship Type="http://schemas.openxmlformats.org/officeDocument/2006/relationships/hyperlink" Target="https://ictu.edu.vn/" TargetMode="External" Id="rId148"/><Relationship Type="http://schemas.openxmlformats.org/officeDocument/2006/relationships/hyperlink" Target="https://tuyensinh.ictu.edu.vn/" TargetMode="External" Id="rId149"/><Relationship Type="http://schemas.openxmlformats.org/officeDocument/2006/relationships/hyperlink" Target="126_truong_Mien_Tinh_Truong_Nganh.xlsx" TargetMode="External" Id="rId150"/><Relationship Type="http://schemas.openxmlformats.org/officeDocument/2006/relationships/hyperlink" Target="https://tnut.edu.vn/" TargetMode="External" Id="rId151"/><Relationship Type="http://schemas.openxmlformats.org/officeDocument/2006/relationships/hyperlink" Target="https://tuyensinh.tnut.edu.vn/" TargetMode="External" Id="rId152"/><Relationship Type="http://schemas.openxmlformats.org/officeDocument/2006/relationships/hyperlink" Target="126_truong_Mien_Tinh_Truong_Nganh.xlsx" TargetMode="External" Id="rId153"/><Relationship Type="http://schemas.openxmlformats.org/officeDocument/2006/relationships/hyperlink" Target="https://tuaf.edu.vn/" TargetMode="External" Id="rId154"/><Relationship Type="http://schemas.openxmlformats.org/officeDocument/2006/relationships/hyperlink" Target="https://tuyensinh.tuaf.edu.vn/" TargetMode="External" Id="rId155"/><Relationship Type="http://schemas.openxmlformats.org/officeDocument/2006/relationships/hyperlink" Target="126_truong_Mien_Tinh_Truong_Nganh.xlsx" TargetMode="External" Id="rId156"/><Relationship Type="http://schemas.openxmlformats.org/officeDocument/2006/relationships/hyperlink" Target="https://tump.edu.vn/" TargetMode="External" Id="rId157"/><Relationship Type="http://schemas.openxmlformats.org/officeDocument/2006/relationships/hyperlink" Target="https://tuyensinh.tump.edu.vn/" TargetMode="External" Id="rId158"/><Relationship Type="http://schemas.openxmlformats.org/officeDocument/2006/relationships/hyperlink" Target="126_truong_Mien_Tinh_Truong_Nganh.xlsx" TargetMode="External" Id="rId159"/><Relationship Type="http://schemas.openxmlformats.org/officeDocument/2006/relationships/hyperlink" Target="https://tnue.edu.vn/" TargetMode="External" Id="rId160"/><Relationship Type="http://schemas.openxmlformats.org/officeDocument/2006/relationships/hyperlink" Target="https://tuyensinh.tnue.edu.vn/" TargetMode="External" Id="rId161"/><Relationship Type="http://schemas.openxmlformats.org/officeDocument/2006/relationships/hyperlink" Target="126_truong_Mien_Tinh_Truong_Nganh.xlsx" TargetMode="External" Id="rId162"/><Relationship Type="http://schemas.openxmlformats.org/officeDocument/2006/relationships/hyperlink" Target="https://dhhp.edu.vn/" TargetMode="External" Id="rId163"/><Relationship Type="http://schemas.openxmlformats.org/officeDocument/2006/relationships/hyperlink" Target="https://tuyensinh.dhhp.edu.vn/" TargetMode="External" Id="rId164"/><Relationship Type="http://schemas.openxmlformats.org/officeDocument/2006/relationships/hyperlink" Target="126_truong_Mien_Tinh_Truong_Nganh.xlsx" TargetMode="External" Id="rId165"/><Relationship Type="http://schemas.openxmlformats.org/officeDocument/2006/relationships/hyperlink" Target="https://vimaru.edu.vn/" TargetMode="External" Id="rId166"/><Relationship Type="http://schemas.openxmlformats.org/officeDocument/2006/relationships/hyperlink" Target="https://tuyensinh.vimaru.edu.vn/" TargetMode="External" Id="rId167"/><Relationship Type="http://schemas.openxmlformats.org/officeDocument/2006/relationships/hyperlink" Target="126_truong_Mien_Tinh_Truong_Nganh.xlsx" TargetMode="External" Id="rId168"/><Relationship Type="http://schemas.openxmlformats.org/officeDocument/2006/relationships/hyperlink" Target="https://hmt.edu.vn/" TargetMode="External" Id="rId169"/><Relationship Type="http://schemas.openxmlformats.org/officeDocument/2006/relationships/hyperlink" Target="https://tuyensinh.hmt.edu.vn/" TargetMode="External" Id="rId170"/><Relationship Type="http://schemas.openxmlformats.org/officeDocument/2006/relationships/hyperlink" Target="126_truong_Mien_Tinh_Truong_Nganh.xlsx" TargetMode="External" Id="rId171"/><Relationship Type="http://schemas.openxmlformats.org/officeDocument/2006/relationships/hyperlink" Target="https://utehy.edu.vn/" TargetMode="External" Id="rId172"/><Relationship Type="http://schemas.openxmlformats.org/officeDocument/2006/relationships/hyperlink" Target="https://tuyensinh.utehy.edu.vn/" TargetMode="External" Id="rId173"/><Relationship Type="http://schemas.openxmlformats.org/officeDocument/2006/relationships/hyperlink" Target="126_truong_Mien_Tinh_Truong_Nganh.xlsx" TargetMode="External" Id="rId174"/><Relationship Type="http://schemas.openxmlformats.org/officeDocument/2006/relationships/hyperlink" Target="https://hocvienchinhtri.edu.vn/" TargetMode="External" Id="rId175"/><Relationship Type="http://schemas.openxmlformats.org/officeDocument/2006/relationships/hyperlink" Target="126_truong_Mien_Tinh_Truong_Nganh.xlsx" TargetMode="External" Id="rId176"/><Relationship Type="http://schemas.openxmlformats.org/officeDocument/2006/relationships/hyperlink" Target="https://truongttg.edu.vn/" TargetMode="External" Id="rId177"/><Relationship Type="http://schemas.openxmlformats.org/officeDocument/2006/relationships/hyperlink" Target="126_truong_Mien_Tinh_Truong_Nganh.xlsx" TargetMode="External" Id="rId178"/><Relationship Type="http://schemas.openxmlformats.org/officeDocument/2006/relationships/hyperlink" Target="https://hdu.edu.vn/" TargetMode="External" Id="rId179"/><Relationship Type="http://schemas.openxmlformats.org/officeDocument/2006/relationships/hyperlink" Target="https://tuyensinh.hdu.edu.vn/" TargetMode="External" Id="rId180"/><Relationship Type="http://schemas.openxmlformats.org/officeDocument/2006/relationships/hyperlink" Target="126_truong_Mien_Tinh_Truong_Nganh.xlsx" TargetMode="External" Id="rId181"/><Relationship Type="http://schemas.openxmlformats.org/officeDocument/2006/relationships/hyperlink" Target="https://vinhuni.edu.vn/" TargetMode="External" Id="rId182"/><Relationship Type="http://schemas.openxmlformats.org/officeDocument/2006/relationships/hyperlink" Target="https://tuyensinh.vinhuni.edu.vn/" TargetMode="External" Id="rId183"/><Relationship Type="http://schemas.openxmlformats.org/officeDocument/2006/relationships/hyperlink" Target="126_truong_Mien_Tinh_Truong_Nganh.xlsx" TargetMode="External" Id="rId184"/><Relationship Type="http://schemas.openxmlformats.org/officeDocument/2006/relationships/hyperlink" Target="https://husc.edu.vn/" TargetMode="External" Id="rId185"/><Relationship Type="http://schemas.openxmlformats.org/officeDocument/2006/relationships/hyperlink" Target="https://tuyensinh.husc.edu.vn/" TargetMode="External" Id="rId186"/><Relationship Type="http://schemas.openxmlformats.org/officeDocument/2006/relationships/hyperlink" Target="126_truong_Mien_Tinh_Truong_Nganh.xlsx" TargetMode="External" Id="rId187"/><Relationship Type="http://schemas.openxmlformats.org/officeDocument/2006/relationships/hyperlink" Target="https://hce.edu.vn/" TargetMode="External" Id="rId188"/><Relationship Type="http://schemas.openxmlformats.org/officeDocument/2006/relationships/hyperlink" Target="https://tuyensinh.hce.edu.vn/" TargetMode="External" Id="rId189"/><Relationship Type="http://schemas.openxmlformats.org/officeDocument/2006/relationships/hyperlink" Target="126_truong_Mien_Tinh_Truong_Nganh.xlsx" TargetMode="External" Id="rId190"/><Relationship Type="http://schemas.openxmlformats.org/officeDocument/2006/relationships/hyperlink" Target="https://hul.edu.vn/" TargetMode="External" Id="rId191"/><Relationship Type="http://schemas.openxmlformats.org/officeDocument/2006/relationships/hyperlink" Target="https://tuyensinh.hul.edu.vn/" TargetMode="External" Id="rId192"/><Relationship Type="http://schemas.openxmlformats.org/officeDocument/2006/relationships/hyperlink" Target="126_truong_Mien_Tinh_Truong_Nganh.xlsx" TargetMode="External" Id="rId193"/><Relationship Type="http://schemas.openxmlformats.org/officeDocument/2006/relationships/hyperlink" Target="https://dhsphue.edu.vn/" TargetMode="External" Id="rId194"/><Relationship Type="http://schemas.openxmlformats.org/officeDocument/2006/relationships/hyperlink" Target="https://tuyensinh.dhsphue.edu.vn/" TargetMode="External" Id="rId195"/><Relationship Type="http://schemas.openxmlformats.org/officeDocument/2006/relationships/hyperlink" Target="126_truong_Mien_Tinh_Truong_Nganh.xlsx" TargetMode="External" Id="rId196"/><Relationship Type="http://schemas.openxmlformats.org/officeDocument/2006/relationships/hyperlink" Target="https://huemed-univ.edu.vn/" TargetMode="External" Id="rId197"/><Relationship Type="http://schemas.openxmlformats.org/officeDocument/2006/relationships/hyperlink" Target="https://tuyensinh.huemed-univ.edu.vn/" TargetMode="External" Id="rId198"/><Relationship Type="http://schemas.openxmlformats.org/officeDocument/2006/relationships/hyperlink" Target="126_truong_Mien_Tinh_Truong_Nganh.xlsx" TargetMode="External" Id="rId199"/><Relationship Type="http://schemas.openxmlformats.org/officeDocument/2006/relationships/hyperlink" Target="https://hufa.edu.vn/" TargetMode="External" Id="rId200"/><Relationship Type="http://schemas.openxmlformats.org/officeDocument/2006/relationships/hyperlink" Target="https://tuyensinh.hufa.edu.vn/" TargetMode="External" Id="rId201"/><Relationship Type="http://schemas.openxmlformats.org/officeDocument/2006/relationships/hyperlink" Target="126_truong_Mien_Tinh_Truong_Nganh.xlsx" TargetMode="External" Id="rId202"/><Relationship Type="http://schemas.openxmlformats.org/officeDocument/2006/relationships/hyperlink" Target="https://huht.edu.vn/" TargetMode="External" Id="rId203"/><Relationship Type="http://schemas.openxmlformats.org/officeDocument/2006/relationships/hyperlink" Target="https://tuyensinh.huht.edu.vn/" TargetMode="External" Id="rId204"/><Relationship Type="http://schemas.openxmlformats.org/officeDocument/2006/relationships/hyperlink" Target="126_truong_Mien_Tinh_Truong_Nganh.xlsx" TargetMode="External" Id="rId205"/><Relationship Type="http://schemas.openxmlformats.org/officeDocument/2006/relationships/hyperlink" Target="https://huaf.edu.vn/" TargetMode="External" Id="rId206"/><Relationship Type="http://schemas.openxmlformats.org/officeDocument/2006/relationships/hyperlink" Target="https://tuyensinh.huaf.edu.vn/" TargetMode="External" Id="rId207"/><Relationship Type="http://schemas.openxmlformats.org/officeDocument/2006/relationships/hyperlink" Target="126_truong_Mien_Tinh_Truong_Nganh.xlsx" TargetMode="External" Id="rId208"/><Relationship Type="http://schemas.openxmlformats.org/officeDocument/2006/relationships/hyperlink" Target="https://dut.udn.vn/" TargetMode="External" Id="rId209"/><Relationship Type="http://schemas.openxmlformats.org/officeDocument/2006/relationships/hyperlink" Target="https://tuyensinh.dut.udn.vn/" TargetMode="External" Id="rId210"/><Relationship Type="http://schemas.openxmlformats.org/officeDocument/2006/relationships/hyperlink" Target="126_truong_Mien_Tinh_Truong_Nganh.xlsx" TargetMode="External" Id="rId211"/><Relationship Type="http://schemas.openxmlformats.org/officeDocument/2006/relationships/hyperlink" Target="https://due.udn.vn/" TargetMode="External" Id="rId212"/><Relationship Type="http://schemas.openxmlformats.org/officeDocument/2006/relationships/hyperlink" Target="https://tuyensinh.due.udn.vn/" TargetMode="External" Id="rId213"/><Relationship Type="http://schemas.openxmlformats.org/officeDocument/2006/relationships/hyperlink" Target="126_truong_Mien_Tinh_Truong_Nganh.xlsx" TargetMode="External" Id="rId214"/><Relationship Type="http://schemas.openxmlformats.org/officeDocument/2006/relationships/hyperlink" Target="https://ued.udn.vn/" TargetMode="External" Id="rId215"/><Relationship Type="http://schemas.openxmlformats.org/officeDocument/2006/relationships/hyperlink" Target="https://tuyensinh.ued.udn.vn/" TargetMode="External" Id="rId216"/><Relationship Type="http://schemas.openxmlformats.org/officeDocument/2006/relationships/hyperlink" Target="126_truong_Mien_Tinh_Truong_Nganh.xlsx" TargetMode="External" Id="rId217"/><Relationship Type="http://schemas.openxmlformats.org/officeDocument/2006/relationships/hyperlink" Target="https://ump.udn.vn/" TargetMode="External" Id="rId218"/><Relationship Type="http://schemas.openxmlformats.org/officeDocument/2006/relationships/hyperlink" Target="https://tuyensinh.ump.udn.vn/" TargetMode="External" Id="rId219"/><Relationship Type="http://schemas.openxmlformats.org/officeDocument/2006/relationships/hyperlink" Target="126_truong_Mien_Tinh_Truong_Nganh.xlsx" TargetMode="External" Id="rId220"/><Relationship Type="http://schemas.openxmlformats.org/officeDocument/2006/relationships/hyperlink" Target="https://ufl.udn.vn/" TargetMode="External" Id="rId221"/><Relationship Type="http://schemas.openxmlformats.org/officeDocument/2006/relationships/hyperlink" Target="https://tuyensinh.ufl.udn.vn/" TargetMode="External" Id="rId222"/><Relationship Type="http://schemas.openxmlformats.org/officeDocument/2006/relationships/hyperlink" Target="126_truong_Mien_Tinh_Truong_Nganh.xlsx" TargetMode="External" Id="rId223"/><Relationship Type="http://schemas.openxmlformats.org/officeDocument/2006/relationships/hyperlink" Target="https://duytan.edu.vn/" TargetMode="External" Id="rId224"/><Relationship Type="http://schemas.openxmlformats.org/officeDocument/2006/relationships/hyperlink" Target="https://tuyensinh.duytan.edu.vn/" TargetMode="External" Id="rId225"/><Relationship Type="http://schemas.openxmlformats.org/officeDocument/2006/relationships/hyperlink" Target="126_truong_Mien_Tinh_Truong_Nganh.xlsx" TargetMode="External" Id="rId226"/><Relationship Type="http://schemas.openxmlformats.org/officeDocument/2006/relationships/hyperlink" Target="https://donga.edu.vn/" TargetMode="External" Id="rId227"/><Relationship Type="http://schemas.openxmlformats.org/officeDocument/2006/relationships/hyperlink" Target="https://tuyensinh.donga.edu.vn/" TargetMode="External" Id="rId228"/><Relationship Type="http://schemas.openxmlformats.org/officeDocument/2006/relationships/hyperlink" Target="126_truong_Mien_Tinh_Truong_Nganh.xlsx" TargetMode="External" Id="rId229"/><Relationship Type="http://schemas.openxmlformats.org/officeDocument/2006/relationships/hyperlink" Target="https://ntu.edu.vn/" TargetMode="External" Id="rId230"/><Relationship Type="http://schemas.openxmlformats.org/officeDocument/2006/relationships/hyperlink" Target="https://tuyensinh.ntu.edu.vn/" TargetMode="External" Id="rId231"/><Relationship Type="http://schemas.openxmlformats.org/officeDocument/2006/relationships/hyperlink" Target="126_truong_Mien_Tinh_Truong_Nganh.xlsx" TargetMode="External" Id="rId232"/><Relationship Type="http://schemas.openxmlformats.org/officeDocument/2006/relationships/hyperlink" Target="https://hocvienhaiquan.edu.vn/" TargetMode="External" Id="rId233"/><Relationship Type="http://schemas.openxmlformats.org/officeDocument/2006/relationships/hyperlink" Target="126_truong_Mien_Tinh_Truong_Nganh.xlsx" TargetMode="External" Id="rId234"/><Relationship Type="http://schemas.openxmlformats.org/officeDocument/2006/relationships/hyperlink" Target="https://truongthongtin.edu.vn/" TargetMode="External" Id="rId235"/><Relationship Type="http://schemas.openxmlformats.org/officeDocument/2006/relationships/hyperlink" Target="126_truong_Mien_Tinh_Truong_Nganh.xlsx" TargetMode="External" Id="rId236"/><Relationship Type="http://schemas.openxmlformats.org/officeDocument/2006/relationships/hyperlink" Target="https://truongkhongquan.edu.vn/" TargetMode="External" Id="rId237"/><Relationship Type="http://schemas.openxmlformats.org/officeDocument/2006/relationships/hyperlink" Target="126_truong_Mien_Tinh_Truong_Nganh.xlsx" TargetMode="External" Id="rId238"/><Relationship Type="http://schemas.openxmlformats.org/officeDocument/2006/relationships/hyperlink" Target="https://qnu.edu.vn/" TargetMode="External" Id="rId239"/><Relationship Type="http://schemas.openxmlformats.org/officeDocument/2006/relationships/hyperlink" Target="https://tuyensinh.qnu.edu.vn/" TargetMode="External" Id="rId240"/><Relationship Type="http://schemas.openxmlformats.org/officeDocument/2006/relationships/hyperlink" Target="126_truong_Mien_Tinh_Truong_Nganh.xlsx" TargetMode="External" Id="rId241"/><Relationship Type="http://schemas.openxmlformats.org/officeDocument/2006/relationships/hyperlink" Target="https://dlu.edu.vn/" TargetMode="External" Id="rId242"/><Relationship Type="http://schemas.openxmlformats.org/officeDocument/2006/relationships/hyperlink" Target="https://tuyensinh.dlu.edu.vn/" TargetMode="External" Id="rId243"/><Relationship Type="http://schemas.openxmlformats.org/officeDocument/2006/relationships/hyperlink" Target="126_truong_Mien_Tinh_Truong_Nganh.xlsx" TargetMode="External" Id="rId244"/><Relationship Type="http://schemas.openxmlformats.org/officeDocument/2006/relationships/hyperlink" Target="https://ttn.edu.vn/" TargetMode="External" Id="rId245"/><Relationship Type="http://schemas.openxmlformats.org/officeDocument/2006/relationships/hyperlink" Target="https://tuyensinh.ttn.edu.vn/" TargetMode="External" Id="rId246"/><Relationship Type="http://schemas.openxmlformats.org/officeDocument/2006/relationships/hyperlink" Target="126_truong_Mien_Tinh_Truong_Nganh.xlsx" TargetMode="External" Id="rId247"/><Relationship Type="http://schemas.openxmlformats.org/officeDocument/2006/relationships/hyperlink" Target="https://hcmut.edu.vn/" TargetMode="External" Id="rId248"/><Relationship Type="http://schemas.openxmlformats.org/officeDocument/2006/relationships/hyperlink" Target="https://tuyensinh.hcmut.edu.vn/" TargetMode="External" Id="rId249"/><Relationship Type="http://schemas.openxmlformats.org/officeDocument/2006/relationships/hyperlink" Target="126_truong_Mien_Tinh_Truong_Nganh.xlsx" TargetMode="External" Id="rId250"/><Relationship Type="http://schemas.openxmlformats.org/officeDocument/2006/relationships/hyperlink" Target="https://hcmus.edu.vn/" TargetMode="External" Id="rId251"/><Relationship Type="http://schemas.openxmlformats.org/officeDocument/2006/relationships/hyperlink" Target="https://tuyensinh.hcmus.edu.vn/" TargetMode="External" Id="rId252"/><Relationship Type="http://schemas.openxmlformats.org/officeDocument/2006/relationships/hyperlink" Target="126_truong_Mien_Tinh_Truong_Nganh.xlsx" TargetMode="External" Id="rId253"/><Relationship Type="http://schemas.openxmlformats.org/officeDocument/2006/relationships/hyperlink" Target="https://uit.edu.vn/" TargetMode="External" Id="rId254"/><Relationship Type="http://schemas.openxmlformats.org/officeDocument/2006/relationships/hyperlink" Target="https://tuyensinh.uit.edu.vn/" TargetMode="External" Id="rId255"/><Relationship Type="http://schemas.openxmlformats.org/officeDocument/2006/relationships/hyperlink" Target="126_truong_Mien_Tinh_Truong_Nganh.xlsx" TargetMode="External" Id="rId256"/><Relationship Type="http://schemas.openxmlformats.org/officeDocument/2006/relationships/hyperlink" Target="https://uel.edu.vn/" TargetMode="External" Id="rId257"/><Relationship Type="http://schemas.openxmlformats.org/officeDocument/2006/relationships/hyperlink" Target="https://tuyensinh.uel.edu.vn/" TargetMode="External" Id="rId258"/><Relationship Type="http://schemas.openxmlformats.org/officeDocument/2006/relationships/hyperlink" Target="126_truong_Mien_Tinh_Truong_Nganh.xlsx" TargetMode="External" Id="rId259"/><Relationship Type="http://schemas.openxmlformats.org/officeDocument/2006/relationships/hyperlink" Target="https://hcmiu.edu.vn/" TargetMode="External" Id="rId260"/><Relationship Type="http://schemas.openxmlformats.org/officeDocument/2006/relationships/hyperlink" Target="https://tuyensinh.hcmiu.edu.vn/" TargetMode="External" Id="rId261"/><Relationship Type="http://schemas.openxmlformats.org/officeDocument/2006/relationships/hyperlink" Target="126_truong_Mien_Tinh_Truong_Nganh.xlsx" TargetMode="External" Id="rId262"/><Relationship Type="http://schemas.openxmlformats.org/officeDocument/2006/relationships/hyperlink" Target="https://hcmussh.edu.vn/" TargetMode="External" Id="rId263"/><Relationship Type="http://schemas.openxmlformats.org/officeDocument/2006/relationships/hyperlink" Target="https://tuyensinh.hcmussh.edu.vn/" TargetMode="External" Id="rId264"/><Relationship Type="http://schemas.openxmlformats.org/officeDocument/2006/relationships/hyperlink" Target="126_truong_Mien_Tinh_Truong_Nganh.xlsx" TargetMode="External" Id="rId265"/><Relationship Type="http://schemas.openxmlformats.org/officeDocument/2006/relationships/hyperlink" Target="https://ueh.edu.vn/" TargetMode="External" Id="rId266"/><Relationship Type="http://schemas.openxmlformats.org/officeDocument/2006/relationships/hyperlink" Target="https://tuyensinh.ueh.edu.vn/" TargetMode="External" Id="rId267"/><Relationship Type="http://schemas.openxmlformats.org/officeDocument/2006/relationships/hyperlink" Target="126_truong_Mien_Tinh_Truong_Nganh.xlsx" TargetMode="External" Id="rId268"/><Relationship Type="http://schemas.openxmlformats.org/officeDocument/2006/relationships/hyperlink" Target="https://tdtu.edu.vn/" TargetMode="External" Id="rId269"/><Relationship Type="http://schemas.openxmlformats.org/officeDocument/2006/relationships/hyperlink" Target="https://tuyensinh.tdtu.edu.vn/" TargetMode="External" Id="rId270"/><Relationship Type="http://schemas.openxmlformats.org/officeDocument/2006/relationships/hyperlink" Target="126_truong_Mien_Tinh_Truong_Nganh.xlsx" TargetMode="External" Id="rId271"/><Relationship Type="http://schemas.openxmlformats.org/officeDocument/2006/relationships/hyperlink" Target="https://hcmue.edu.vn/" TargetMode="External" Id="rId272"/><Relationship Type="http://schemas.openxmlformats.org/officeDocument/2006/relationships/hyperlink" Target="https://tuyensinh.hcmue.edu.vn/" TargetMode="External" Id="rId273"/><Relationship Type="http://schemas.openxmlformats.org/officeDocument/2006/relationships/hyperlink" Target="126_truong_Mien_Tinh_Truong_Nganh.xlsx" TargetMode="External" Id="rId274"/><Relationship Type="http://schemas.openxmlformats.org/officeDocument/2006/relationships/hyperlink" Target="https://hcmute.edu.vn/" TargetMode="External" Id="rId275"/><Relationship Type="http://schemas.openxmlformats.org/officeDocument/2006/relationships/hyperlink" Target="https://tuyensinh.hcmute.edu.vn/" TargetMode="External" Id="rId276"/><Relationship Type="http://schemas.openxmlformats.org/officeDocument/2006/relationships/hyperlink" Target="126_truong_Mien_Tinh_Truong_Nganh.xlsx" TargetMode="External" Id="rId277"/><Relationship Type="http://schemas.openxmlformats.org/officeDocument/2006/relationships/hyperlink" Target="https://iuh.edu.vn/" TargetMode="External" Id="rId278"/><Relationship Type="http://schemas.openxmlformats.org/officeDocument/2006/relationships/hyperlink" Target="https://tuyensinh.iuh.edu.vn/" TargetMode="External" Id="rId279"/><Relationship Type="http://schemas.openxmlformats.org/officeDocument/2006/relationships/hyperlink" Target="126_truong_Mien_Tinh_Truong_Nganh.xlsx" TargetMode="External" Id="rId280"/><Relationship Type="http://schemas.openxmlformats.org/officeDocument/2006/relationships/hyperlink" Target="https://huit.edu.vn/" TargetMode="External" Id="rId281"/><Relationship Type="http://schemas.openxmlformats.org/officeDocument/2006/relationships/hyperlink" Target="https://tuyensinh.huit.edu.vn/" TargetMode="External" Id="rId282"/><Relationship Type="http://schemas.openxmlformats.org/officeDocument/2006/relationships/hyperlink" Target="126_truong_Mien_Tinh_Truong_Nganh.xlsx" TargetMode="External" Id="rId283"/><Relationship Type="http://schemas.openxmlformats.org/officeDocument/2006/relationships/hyperlink" Target="https://ut.edu.vn/" TargetMode="External" Id="rId284"/><Relationship Type="http://schemas.openxmlformats.org/officeDocument/2006/relationships/hyperlink" Target="https://tuyensinh.ut.edu.vn/" TargetMode="External" Id="rId285"/><Relationship Type="http://schemas.openxmlformats.org/officeDocument/2006/relationships/hyperlink" Target="126_truong_Mien_Tinh_Truong_Nganh.xlsx" TargetMode="External" Id="rId286"/><Relationship Type="http://schemas.openxmlformats.org/officeDocument/2006/relationships/hyperlink" Target="https://ou.edu.vn/" TargetMode="External" Id="rId287"/><Relationship Type="http://schemas.openxmlformats.org/officeDocument/2006/relationships/hyperlink" Target="https://tuyensinh.ou.edu.vn/" TargetMode="External" Id="rId288"/><Relationship Type="http://schemas.openxmlformats.org/officeDocument/2006/relationships/hyperlink" Target="126_truong_Mien_Tinh_Truong_Nganh.xlsx" TargetMode="External" Id="rId289"/><Relationship Type="http://schemas.openxmlformats.org/officeDocument/2006/relationships/hyperlink" Target="https://ufm.edu.vn/" TargetMode="External" Id="rId290"/><Relationship Type="http://schemas.openxmlformats.org/officeDocument/2006/relationships/hyperlink" Target="https://tuyensinh.ufm.edu.vn/" TargetMode="External" Id="rId291"/><Relationship Type="http://schemas.openxmlformats.org/officeDocument/2006/relationships/hyperlink" Target="126_truong_Mien_Tinh_Truong_Nganh.xlsx" TargetMode="External" Id="rId292"/><Relationship Type="http://schemas.openxmlformats.org/officeDocument/2006/relationships/hyperlink" Target="https://hub.edu.vn/" TargetMode="External" Id="rId293"/><Relationship Type="http://schemas.openxmlformats.org/officeDocument/2006/relationships/hyperlink" Target="https://tuyensinh.hub.edu.vn/" TargetMode="External" Id="rId294"/><Relationship Type="http://schemas.openxmlformats.org/officeDocument/2006/relationships/hyperlink" Target="126_truong_Mien_Tinh_Truong_Nganh.xlsx" TargetMode="External" Id="rId295"/><Relationship Type="http://schemas.openxmlformats.org/officeDocument/2006/relationships/hyperlink" Target="https://hcmulaw.edu.vn/" TargetMode="External" Id="rId296"/><Relationship Type="http://schemas.openxmlformats.org/officeDocument/2006/relationships/hyperlink" Target="https://tuyensinh.hcmulaw.edu.vn/" TargetMode="External" Id="rId297"/><Relationship Type="http://schemas.openxmlformats.org/officeDocument/2006/relationships/hyperlink" Target="126_truong_Mien_Tinh_Truong_Nganh.xlsx" TargetMode="External" Id="rId298"/><Relationship Type="http://schemas.openxmlformats.org/officeDocument/2006/relationships/hyperlink" Target="https://uah.edu.vn/" TargetMode="External" Id="rId299"/><Relationship Type="http://schemas.openxmlformats.org/officeDocument/2006/relationships/hyperlink" Target="https://tuyensinh.uah.edu.vn/" TargetMode="External" Id="rId300"/><Relationship Type="http://schemas.openxmlformats.org/officeDocument/2006/relationships/hyperlink" Target="126_truong_Mien_Tinh_Truong_Nganh.xlsx" TargetMode="External" Id="rId301"/><Relationship Type="http://schemas.openxmlformats.org/officeDocument/2006/relationships/hyperlink" Target="https://hufa.edu.vn/" TargetMode="External" Id="rId302"/><Relationship Type="http://schemas.openxmlformats.org/officeDocument/2006/relationships/hyperlink" Target="https://tuyensinh.hufa.edu.vn/" TargetMode="External" Id="rId303"/><Relationship Type="http://schemas.openxmlformats.org/officeDocument/2006/relationships/hyperlink" Target="126_truong_Mien_Tinh_Truong_Nganh.xlsx" TargetMode="External" Id="rId304"/><Relationship Type="http://schemas.openxmlformats.org/officeDocument/2006/relationships/hyperlink" Target="https://hcmuc.edu.vn/" TargetMode="External" Id="rId305"/><Relationship Type="http://schemas.openxmlformats.org/officeDocument/2006/relationships/hyperlink" Target="https://tuyensinh.hcmuc.edu.vn/" TargetMode="External" Id="rId306"/><Relationship Type="http://schemas.openxmlformats.org/officeDocument/2006/relationships/hyperlink" Target="126_truong_Mien_Tinh_Truong_Nganh.xlsx" TargetMode="External" Id="rId307"/><Relationship Type="http://schemas.openxmlformats.org/officeDocument/2006/relationships/hyperlink" Target="https://ump.edu.vn/" TargetMode="External" Id="rId308"/><Relationship Type="http://schemas.openxmlformats.org/officeDocument/2006/relationships/hyperlink" Target="https://tuyensinh.ump.edu.vn/" TargetMode="External" Id="rId309"/><Relationship Type="http://schemas.openxmlformats.org/officeDocument/2006/relationships/hyperlink" Target="126_truong_Mien_Tinh_Truong_Nganh.xlsx" TargetMode="External" Id="rId310"/><Relationship Type="http://schemas.openxmlformats.org/officeDocument/2006/relationships/hyperlink" Target="https://pnt.edu.vn/" TargetMode="External" Id="rId311"/><Relationship Type="http://schemas.openxmlformats.org/officeDocument/2006/relationships/hyperlink" Target="https://tuyensinh.pnt.edu.vn/" TargetMode="External" Id="rId312"/><Relationship Type="http://schemas.openxmlformats.org/officeDocument/2006/relationships/hyperlink" Target="126_truong_Mien_Tinh_Truong_Nganh.xlsx" TargetMode="External" Id="rId313"/><Relationship Type="http://schemas.openxmlformats.org/officeDocument/2006/relationships/hyperlink" Target="https://hcmuaf.edu.vn/" TargetMode="External" Id="rId314"/><Relationship Type="http://schemas.openxmlformats.org/officeDocument/2006/relationships/hyperlink" Target="https://tuyensinh.hcmuaf.edu.vn/" TargetMode="External" Id="rId315"/><Relationship Type="http://schemas.openxmlformats.org/officeDocument/2006/relationships/hyperlink" Target="126_truong_Mien_Tinh_Truong_Nganh.xlsx" TargetMode="External" Id="rId316"/><Relationship Type="http://schemas.openxmlformats.org/officeDocument/2006/relationships/hyperlink" Target="https://hcmunre.edu.vn/" TargetMode="External" Id="rId317"/><Relationship Type="http://schemas.openxmlformats.org/officeDocument/2006/relationships/hyperlink" Target="https://tuyensinh.hcmunre.edu.vn/" TargetMode="External" Id="rId318"/><Relationship Type="http://schemas.openxmlformats.org/officeDocument/2006/relationships/hyperlink" Target="126_truong_Mien_Tinh_Truong_Nganh.xlsx" TargetMode="External" Id="rId319"/><Relationship Type="http://schemas.openxmlformats.org/officeDocument/2006/relationships/hyperlink" Target="https://hutech.edu.vn/" TargetMode="External" Id="rId320"/><Relationship Type="http://schemas.openxmlformats.org/officeDocument/2006/relationships/hyperlink" Target="https://tuyensinh.hutech.edu.vn/" TargetMode="External" Id="rId321"/><Relationship Type="http://schemas.openxmlformats.org/officeDocument/2006/relationships/hyperlink" Target="126_truong_Mien_Tinh_Truong_Nganh.xlsx" TargetMode="External" Id="rId322"/><Relationship Type="http://schemas.openxmlformats.org/officeDocument/2006/relationships/hyperlink" Target="https://uef.edu.vn/" TargetMode="External" Id="rId323"/><Relationship Type="http://schemas.openxmlformats.org/officeDocument/2006/relationships/hyperlink" Target="https://tuyensinh.uef.edu.vn/" TargetMode="External" Id="rId324"/><Relationship Type="http://schemas.openxmlformats.org/officeDocument/2006/relationships/hyperlink" Target="126_truong_Mien_Tinh_Truong_Nganh.xlsx" TargetMode="External" Id="rId325"/><Relationship Type="http://schemas.openxmlformats.org/officeDocument/2006/relationships/hyperlink" Target="https://hoasen.edu.vn/" TargetMode="External" Id="rId326"/><Relationship Type="http://schemas.openxmlformats.org/officeDocument/2006/relationships/hyperlink" Target="https://tuyensinh.hoasen.edu.vn/" TargetMode="External" Id="rId327"/><Relationship Type="http://schemas.openxmlformats.org/officeDocument/2006/relationships/hyperlink" Target="126_truong_Mien_Tinh_Truong_Nganh.xlsx" TargetMode="External" Id="rId328"/><Relationship Type="http://schemas.openxmlformats.org/officeDocument/2006/relationships/hyperlink" Target="https://ntt.edu.vn/" TargetMode="External" Id="rId329"/><Relationship Type="http://schemas.openxmlformats.org/officeDocument/2006/relationships/hyperlink" Target="https://tuyensinh.ntt.edu.vn/" TargetMode="External" Id="rId330"/><Relationship Type="http://schemas.openxmlformats.org/officeDocument/2006/relationships/hyperlink" Target="126_truong_Mien_Tinh_Truong_Nganh.xlsx" TargetMode="External" Id="rId331"/><Relationship Type="http://schemas.openxmlformats.org/officeDocument/2006/relationships/hyperlink" Target="https://vanlanguni.edu.vn/" TargetMode="External" Id="rId332"/><Relationship Type="http://schemas.openxmlformats.org/officeDocument/2006/relationships/hyperlink" Target="https://tuyensinh.vanlanguni.edu.vn/" TargetMode="External" Id="rId333"/><Relationship Type="http://schemas.openxmlformats.org/officeDocument/2006/relationships/hyperlink" Target="126_truong_Mien_Tinh_Truong_Nganh.xlsx" TargetMode="External" Id="rId334"/><Relationship Type="http://schemas.openxmlformats.org/officeDocument/2006/relationships/hyperlink" Target="https://vgu.edu.vn/" TargetMode="External" Id="rId335"/><Relationship Type="http://schemas.openxmlformats.org/officeDocument/2006/relationships/hyperlink" Target="https://tuyensinh.vgu.edu.vn/" TargetMode="External" Id="rId336"/><Relationship Type="http://schemas.openxmlformats.org/officeDocument/2006/relationships/hyperlink" Target="126_truong_Mien_Tinh_Truong_Nganh.xlsx" TargetMode="External" Id="rId337"/><Relationship Type="http://schemas.openxmlformats.org/officeDocument/2006/relationships/hyperlink" Target="https://tdmu.edu.vn/" TargetMode="External" Id="rId338"/><Relationship Type="http://schemas.openxmlformats.org/officeDocument/2006/relationships/hyperlink" Target="https://tuyensinh.tdmu.edu.vn/" TargetMode="External" Id="rId339"/><Relationship Type="http://schemas.openxmlformats.org/officeDocument/2006/relationships/hyperlink" Target="126_truong_Mien_Tinh_Truong_Nganh.xlsx" TargetMode="External" Id="rId340"/><Relationship Type="http://schemas.openxmlformats.org/officeDocument/2006/relationships/hyperlink" Target="https://truongcongbinh.edu.vn/" TargetMode="External" Id="rId341"/><Relationship Type="http://schemas.openxmlformats.org/officeDocument/2006/relationships/hyperlink" Target="126_truong_Mien_Tinh_Truong_Nganh.xlsx" TargetMode="External" Id="rId342"/><Relationship Type="http://schemas.openxmlformats.org/officeDocument/2006/relationships/hyperlink" Target="https://dhanninh.edu.vn/" TargetMode="External" Id="rId343"/><Relationship Type="http://schemas.openxmlformats.org/officeDocument/2006/relationships/hyperlink" Target="https://tuyensinh.dhanninh.edu.vn/" TargetMode="External" Id="rId344"/><Relationship Type="http://schemas.openxmlformats.org/officeDocument/2006/relationships/hyperlink" Target="126_truong_Mien_Tinh_Truong_Nganh.xlsx" TargetMode="External" Id="rId345"/><Relationship Type="http://schemas.openxmlformats.org/officeDocument/2006/relationships/hyperlink" Target="https://dhcsnd.edu.vn/" TargetMode="External" Id="rId346"/><Relationship Type="http://schemas.openxmlformats.org/officeDocument/2006/relationships/hyperlink" Target="https://tuyensinh.dhcsnd.edu.vn/" TargetMode="External" Id="rId347"/><Relationship Type="http://schemas.openxmlformats.org/officeDocument/2006/relationships/hyperlink" Target="126_truong_Mien_Tinh_Truong_Nganh.xlsx" TargetMode="External" Id="rId348"/><Relationship Type="http://schemas.openxmlformats.org/officeDocument/2006/relationships/hyperlink" Target="https://lhu.edu.vn/" TargetMode="External" Id="rId349"/><Relationship Type="http://schemas.openxmlformats.org/officeDocument/2006/relationships/hyperlink" Target="https://tuyensinh.lhu.edu.vn/" TargetMode="External" Id="rId350"/><Relationship Type="http://schemas.openxmlformats.org/officeDocument/2006/relationships/hyperlink" Target="126_truong_Mien_Tinh_Truong_Nganh.xlsx" TargetMode="External" Id="rId351"/><Relationship Type="http://schemas.openxmlformats.org/officeDocument/2006/relationships/hyperlink" Target="https://daihocnguyenHue.edu.vn/" TargetMode="External" Id="rId352"/><Relationship Type="http://schemas.openxmlformats.org/officeDocument/2006/relationships/hyperlink" Target="126_truong_Mien_Tinh_Truong_Nganh.xlsx" TargetMode="External" Id="rId353"/><Relationship Type="http://schemas.openxmlformats.org/officeDocument/2006/relationships/hyperlink" Target="https://ctu.edu.vn/" TargetMode="External" Id="rId354"/><Relationship Type="http://schemas.openxmlformats.org/officeDocument/2006/relationships/hyperlink" Target="https://tuyensinh.ctu.edu.vn/" TargetMode="External" Id="rId355"/><Relationship Type="http://schemas.openxmlformats.org/officeDocument/2006/relationships/hyperlink" Target="126_truong_Mien_Tinh_Truong_Nganh.xlsx" TargetMode="External" Id="rId356"/><Relationship Type="http://schemas.openxmlformats.org/officeDocument/2006/relationships/hyperlink" Target="https://trandainghia.edu.vn/" TargetMode="External" Id="rId357"/><Relationship Type="http://schemas.openxmlformats.org/officeDocument/2006/relationships/hyperlink" Target="126_truong_Mien_Tinh_Truong_Nganh.xlsx" TargetMode="External" Id="rId358"/><Relationship Type="http://schemas.openxmlformats.org/officeDocument/2006/relationships/hyperlink" Target="https://ais.edu.vn/" TargetMode="External" Id="rId359"/><Relationship Type="http://schemas.openxmlformats.org/officeDocument/2006/relationships/hyperlink" Target="https://tuyensinh.ais.edu.vn/" TargetMode="External" Id="rId360"/></Relationships>
</file>

<file path=xl/worksheets/_rels/sheet2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ust.edu.vn/" TargetMode="External" Id="rId2"/><Relationship Type="http://schemas.openxmlformats.org/officeDocument/2006/relationships/hyperlink" Target="https://ts.hust.edu.vn/" TargetMode="External" Id="rId3"/><Relationship Type="http://schemas.openxmlformats.org/officeDocument/2006/relationships/hyperlink" Target="126_truong_Mien_Tinh_Truong_Nganh.xlsx" TargetMode="External" Id="rId4"/><Relationship Type="http://schemas.openxmlformats.org/officeDocument/2006/relationships/hyperlink" Target="https://neu.edu.vn/" TargetMode="External" Id="rId5"/><Relationship Type="http://schemas.openxmlformats.org/officeDocument/2006/relationships/hyperlink" Target="https://daotao.neu.edu.vn/" TargetMode="External" Id="rId6"/><Relationship Type="http://schemas.openxmlformats.org/officeDocument/2006/relationships/hyperlink" Target="126_truong_Mien_Tinh_Truong_Nganh.xlsx" TargetMode="External" Id="rId7"/><Relationship Type="http://schemas.openxmlformats.org/officeDocument/2006/relationships/hyperlink" Target="https://ftu.edu.vn/" TargetMode="External" Id="rId8"/><Relationship Type="http://schemas.openxmlformats.org/officeDocument/2006/relationships/hyperlink" Target="https://tuyensinh.ftu.edu.vn/" TargetMode="External" Id="rId9"/><Relationship Type="http://schemas.openxmlformats.org/officeDocument/2006/relationships/hyperlink" Target="126_truong_Mien_Tinh_Truong_Nganh.xlsx" TargetMode="External" Id="rId10"/><Relationship Type="http://schemas.openxmlformats.org/officeDocument/2006/relationships/hyperlink" Target="https://tmu.edu.vn/" TargetMode="External" Id="rId11"/><Relationship Type="http://schemas.openxmlformats.org/officeDocument/2006/relationships/hyperlink" Target="https://tuyensinh.tmu.edu.vn/" TargetMode="External" Id="rId12"/><Relationship Type="http://schemas.openxmlformats.org/officeDocument/2006/relationships/hyperlink" Target="126_truong_Mien_Tinh_Truong_Nganh.xlsx" TargetMode="External" Id="rId13"/><Relationship Type="http://schemas.openxmlformats.org/officeDocument/2006/relationships/hyperlink" Target="https://hlu.edu.vn/" TargetMode="External" Id="rId14"/><Relationship Type="http://schemas.openxmlformats.org/officeDocument/2006/relationships/hyperlink" Target="https://tuyensinh.hlu.edu.vn/" TargetMode="External" Id="rId15"/><Relationship Type="http://schemas.openxmlformats.org/officeDocument/2006/relationships/hyperlink" Target="126_truong_Mien_Tinh_Truong_Nganh.xlsx" TargetMode="External" Id="rId16"/><Relationship Type="http://schemas.openxmlformats.org/officeDocument/2006/relationships/hyperlink" Target="https://hus.vnu.edu.vn/" TargetMode="External" Id="rId17"/><Relationship Type="http://schemas.openxmlformats.org/officeDocument/2006/relationships/hyperlink" Target="https://tuyensinh.hus.vnu.edu.vn/" TargetMode="External" Id="rId18"/><Relationship Type="http://schemas.openxmlformats.org/officeDocument/2006/relationships/hyperlink" Target="126_truong_Mien_Tinh_Truong_Nganh.xlsx" TargetMode="External" Id="rId19"/><Relationship Type="http://schemas.openxmlformats.org/officeDocument/2006/relationships/hyperlink" Target="https://uet.vnu.edu.vn/" TargetMode="External" Id="rId20"/><Relationship Type="http://schemas.openxmlformats.org/officeDocument/2006/relationships/hyperlink" Target="https://tuyensinh.uet.vnu.edu.vn/" TargetMode="External" Id="rId21"/><Relationship Type="http://schemas.openxmlformats.org/officeDocument/2006/relationships/hyperlink" Target="126_truong_Mien_Tinh_Truong_Nganh.xlsx" TargetMode="External" Id="rId22"/><Relationship Type="http://schemas.openxmlformats.org/officeDocument/2006/relationships/hyperlink" Target="https://ueb.vnu.edu.vn/" TargetMode="External" Id="rId23"/><Relationship Type="http://schemas.openxmlformats.org/officeDocument/2006/relationships/hyperlink" Target="https://tuyensinh.ueb.edu.vn/" TargetMode="External" Id="rId24"/><Relationship Type="http://schemas.openxmlformats.org/officeDocument/2006/relationships/hyperlink" Target="126_truong_Mien_Tinh_Truong_Nganh.xlsx" TargetMode="External" Id="rId25"/><Relationship Type="http://schemas.openxmlformats.org/officeDocument/2006/relationships/hyperlink" Target="https://ussh.vnu.edu.vn/" TargetMode="External" Id="rId26"/><Relationship Type="http://schemas.openxmlformats.org/officeDocument/2006/relationships/hyperlink" Target="https://tuyensinh.ussh.edu.vn/" TargetMode="External" Id="rId27"/><Relationship Type="http://schemas.openxmlformats.org/officeDocument/2006/relationships/hyperlink" Target="126_truong_Mien_Tinh_Truong_Nganh.xlsx" TargetMode="External" Id="rId28"/><Relationship Type="http://schemas.openxmlformats.org/officeDocument/2006/relationships/hyperlink" Target="https://ulis.vnu.edu.vn/" TargetMode="External" Id="rId29"/><Relationship Type="http://schemas.openxmlformats.org/officeDocument/2006/relationships/hyperlink" Target="https://tuyensinh.ulis.vnu.edu.vn/" TargetMode="External" Id="rId30"/><Relationship Type="http://schemas.openxmlformats.org/officeDocument/2006/relationships/hyperlink" Target="126_truong_Mien_Tinh_Truong_Nganh.xlsx" TargetMode="External" Id="rId31"/><Relationship Type="http://schemas.openxmlformats.org/officeDocument/2006/relationships/hyperlink" Target="https://education.vnu.edu.vn/" TargetMode="External" Id="rId32"/><Relationship Type="http://schemas.openxmlformats.org/officeDocument/2006/relationships/hyperlink" Target="https://education.vnu.edu.vn/" TargetMode="External" Id="rId33"/><Relationship Type="http://schemas.openxmlformats.org/officeDocument/2006/relationships/hyperlink" Target="126_truong_Mien_Tinh_Truong_Nganh.xlsx" TargetMode="External" Id="rId34"/><Relationship Type="http://schemas.openxmlformats.org/officeDocument/2006/relationships/hyperlink" Target="https://huce.edu.vn/" TargetMode="External" Id="rId35"/><Relationship Type="http://schemas.openxmlformats.org/officeDocument/2006/relationships/hyperlink" Target="https://tuyensinh.huce.edu.vn/" TargetMode="External" Id="rId36"/><Relationship Type="http://schemas.openxmlformats.org/officeDocument/2006/relationships/hyperlink" Target="126_truong_Mien_Tinh_Truong_Nganh.xlsx" TargetMode="External" Id="rId37"/><Relationship Type="http://schemas.openxmlformats.org/officeDocument/2006/relationships/hyperlink" Target="https://hau.edu.vn/" TargetMode="External" Id="rId38"/><Relationship Type="http://schemas.openxmlformats.org/officeDocument/2006/relationships/hyperlink" Target="https://tuyensinh.hau.edu.vn/" TargetMode="External" Id="rId39"/><Relationship Type="http://schemas.openxmlformats.org/officeDocument/2006/relationships/hyperlink" Target="126_truong_Mien_Tinh_Truong_Nganh.xlsx" TargetMode="External" Id="rId40"/><Relationship Type="http://schemas.openxmlformats.org/officeDocument/2006/relationships/hyperlink" Target="https://tlu.edu.vn/" TargetMode="External" Id="rId41"/><Relationship Type="http://schemas.openxmlformats.org/officeDocument/2006/relationships/hyperlink" Target="https://tuyensinh.tlu.edu.vn/" TargetMode="External" Id="rId42"/><Relationship Type="http://schemas.openxmlformats.org/officeDocument/2006/relationships/hyperlink" Target="126_truong_Mien_Tinh_Truong_Nganh.xlsx" TargetMode="External" Id="rId43"/><Relationship Type="http://schemas.openxmlformats.org/officeDocument/2006/relationships/hyperlink" Target="https://humg.edu.vn/" TargetMode="External" Id="rId44"/><Relationship Type="http://schemas.openxmlformats.org/officeDocument/2006/relationships/hyperlink" Target="https://tuyensinh.humg.edu.vn/" TargetMode="External" Id="rId45"/><Relationship Type="http://schemas.openxmlformats.org/officeDocument/2006/relationships/hyperlink" Target="126_truong_Mien_Tinh_Truong_Nganh.xlsx" TargetMode="External" Id="rId46"/><Relationship Type="http://schemas.openxmlformats.org/officeDocument/2006/relationships/hyperlink" Target="https://epu.edu.vn/" TargetMode="External" Id="rId47"/><Relationship Type="http://schemas.openxmlformats.org/officeDocument/2006/relationships/hyperlink" Target="https://tuyensinh.epu.edu.vn/" TargetMode="External" Id="rId48"/><Relationship Type="http://schemas.openxmlformats.org/officeDocument/2006/relationships/hyperlink" Target="126_truong_Mien_Tinh_Truong_Nganh.xlsx" TargetMode="External" Id="rId49"/><Relationship Type="http://schemas.openxmlformats.org/officeDocument/2006/relationships/hyperlink" Target="https://haui.edu.vn/" TargetMode="External" Id="rId50"/><Relationship Type="http://schemas.openxmlformats.org/officeDocument/2006/relationships/hyperlink" Target="https://tuyensinh.haui.edu.vn/" TargetMode="External" Id="rId51"/><Relationship Type="http://schemas.openxmlformats.org/officeDocument/2006/relationships/hyperlink" Target="126_truong_Mien_Tinh_Truong_Nganh.xlsx" TargetMode="External" Id="rId52"/><Relationship Type="http://schemas.openxmlformats.org/officeDocument/2006/relationships/hyperlink" Target="https://ptit.edu.vn/" TargetMode="External" Id="rId53"/><Relationship Type="http://schemas.openxmlformats.org/officeDocument/2006/relationships/hyperlink" Target="https://tuyensinh.ptit.edu.vn/" TargetMode="External" Id="rId54"/><Relationship Type="http://schemas.openxmlformats.org/officeDocument/2006/relationships/hyperlink" Target="126_truong_Mien_Tinh_Truong_Nganh.xlsx" TargetMode="External" Id="rId55"/><Relationship Type="http://schemas.openxmlformats.org/officeDocument/2006/relationships/hyperlink" Target="https://actvn.edu.vn/" TargetMode="External" Id="rId56"/><Relationship Type="http://schemas.openxmlformats.org/officeDocument/2006/relationships/hyperlink" Target="https://tuyensinh.actvn.edu.vn/" TargetMode="External" Id="rId57"/><Relationship Type="http://schemas.openxmlformats.org/officeDocument/2006/relationships/hyperlink" Target="126_truong_Mien_Tinh_Truong_Nganh.xlsx" TargetMode="External" Id="rId58"/><Relationship Type="http://schemas.openxmlformats.org/officeDocument/2006/relationships/hyperlink" Target="https://hvtc.edu.vn/" TargetMode="External" Id="rId59"/><Relationship Type="http://schemas.openxmlformats.org/officeDocument/2006/relationships/hyperlink" Target="https://tuyensinh.hvtc.edu.vn/" TargetMode="External" Id="rId60"/><Relationship Type="http://schemas.openxmlformats.org/officeDocument/2006/relationships/hyperlink" Target="126_truong_Mien_Tinh_Truong_Nganh.xlsx" TargetMode="External" Id="rId61"/><Relationship Type="http://schemas.openxmlformats.org/officeDocument/2006/relationships/hyperlink" Target="https://hvnh.edu.vn/" TargetMode="External" Id="rId62"/><Relationship Type="http://schemas.openxmlformats.org/officeDocument/2006/relationships/hyperlink" Target="https://tuyensinh.hvnh.edu.vn/" TargetMode="External" Id="rId63"/><Relationship Type="http://schemas.openxmlformats.org/officeDocument/2006/relationships/hyperlink" Target="126_truong_Mien_Tinh_Truong_Nganh.xlsx" TargetMode="External" Id="rId64"/><Relationship Type="http://schemas.openxmlformats.org/officeDocument/2006/relationships/hyperlink" Target="https://dav.edu.vn/" TargetMode="External" Id="rId65"/><Relationship Type="http://schemas.openxmlformats.org/officeDocument/2006/relationships/hyperlink" Target="https://tuyensinh.dav.edu.vn/" TargetMode="External" Id="rId66"/><Relationship Type="http://schemas.openxmlformats.org/officeDocument/2006/relationships/hyperlink" Target="126_truong_Mien_Tinh_Truong_Nganh.xlsx" TargetMode="External" Id="rId67"/><Relationship Type="http://schemas.openxmlformats.org/officeDocument/2006/relationships/hyperlink" Target="https://hmu.edu.vn/" TargetMode="External" Id="rId68"/><Relationship Type="http://schemas.openxmlformats.org/officeDocument/2006/relationships/hyperlink" Target="https://hmu.edu.vn/" TargetMode="External" Id="rId69"/><Relationship Type="http://schemas.openxmlformats.org/officeDocument/2006/relationships/hyperlink" Target="126_truong_Mien_Tinh_Truong_Nganh.xlsx" TargetMode="External" Id="rId70"/><Relationship Type="http://schemas.openxmlformats.org/officeDocument/2006/relationships/hyperlink" Target="https://hup.edu.vn/" TargetMode="External" Id="rId71"/><Relationship Type="http://schemas.openxmlformats.org/officeDocument/2006/relationships/hyperlink" Target="https://tuyensinh.hup.edu.vn/" TargetMode="External" Id="rId72"/><Relationship Type="http://schemas.openxmlformats.org/officeDocument/2006/relationships/hyperlink" Target="126_truong_Mien_Tinh_Truong_Nganh.xlsx" TargetMode="External" Id="rId73"/><Relationship Type="http://schemas.openxmlformats.org/officeDocument/2006/relationships/hyperlink" Target="https://huph.edu.vn/" TargetMode="External" Id="rId74"/><Relationship Type="http://schemas.openxmlformats.org/officeDocument/2006/relationships/hyperlink" Target="https://tuyensinh.huph.edu.vn/" TargetMode="External" Id="rId75"/><Relationship Type="http://schemas.openxmlformats.org/officeDocument/2006/relationships/hyperlink" Target="126_truong_Mien_Tinh_Truong_Nganh.xlsx" TargetMode="External" Id="rId76"/><Relationship Type="http://schemas.openxmlformats.org/officeDocument/2006/relationships/hyperlink" Target="https://huc.edu.vn/" TargetMode="External" Id="rId77"/><Relationship Type="http://schemas.openxmlformats.org/officeDocument/2006/relationships/hyperlink" Target="https://tuyensinh.huc.edu.vn/" TargetMode="External" Id="rId78"/><Relationship Type="http://schemas.openxmlformats.org/officeDocument/2006/relationships/hyperlink" Target="126_truong_Mien_Tinh_Truong_Nganh.xlsx" TargetMode="External" Id="rId79"/><Relationship Type="http://schemas.openxmlformats.org/officeDocument/2006/relationships/hyperlink" Target="https://hou.edu.vn/" TargetMode="External" Id="rId80"/><Relationship Type="http://schemas.openxmlformats.org/officeDocument/2006/relationships/hyperlink" Target="https://tuyensinh.hou.edu.vn/" TargetMode="External" Id="rId81"/><Relationship Type="http://schemas.openxmlformats.org/officeDocument/2006/relationships/hyperlink" Target="126_truong_Mien_Tinh_Truong_Nganh.xlsx" TargetMode="External" Id="rId82"/><Relationship Type="http://schemas.openxmlformats.org/officeDocument/2006/relationships/hyperlink" Target="https://ulsa.edu.vn/" TargetMode="External" Id="rId83"/><Relationship Type="http://schemas.openxmlformats.org/officeDocument/2006/relationships/hyperlink" Target="https://tuyensinh.ulsa.edu.vn/" TargetMode="External" Id="rId84"/><Relationship Type="http://schemas.openxmlformats.org/officeDocument/2006/relationships/hyperlink" Target="126_truong_Mien_Tinh_Truong_Nganh.xlsx" TargetMode="External" Id="rId85"/><Relationship Type="http://schemas.openxmlformats.org/officeDocument/2006/relationships/hyperlink" Target="https://utc.edu.vn/" TargetMode="External" Id="rId86"/><Relationship Type="http://schemas.openxmlformats.org/officeDocument/2006/relationships/hyperlink" Target="https://tuyensinh.utc.edu.vn/" TargetMode="External" Id="rId87"/><Relationship Type="http://schemas.openxmlformats.org/officeDocument/2006/relationships/hyperlink" Target="126_truong_Mien_Tinh_Truong_Nganh.xlsx" TargetMode="External" Id="rId88"/><Relationship Type="http://schemas.openxmlformats.org/officeDocument/2006/relationships/hyperlink" Target="https://usth.edu.vn/" TargetMode="External" Id="rId89"/><Relationship Type="http://schemas.openxmlformats.org/officeDocument/2006/relationships/hyperlink" Target="https://tuyensinh.usth.edu.vn/" TargetMode="External" Id="rId90"/><Relationship Type="http://schemas.openxmlformats.org/officeDocument/2006/relationships/hyperlink" Target="126_truong_Mien_Tinh_Truong_Nganh.xlsx" TargetMode="External" Id="rId91"/><Relationship Type="http://schemas.openxmlformats.org/officeDocument/2006/relationships/hyperlink" Target="https://phenikaa-uni.edu.vn/" TargetMode="External" Id="rId92"/><Relationship Type="http://schemas.openxmlformats.org/officeDocument/2006/relationships/hyperlink" Target="https://tuyensinh.phenikaa-uni.edu.vn/" TargetMode="External" Id="rId93"/><Relationship Type="http://schemas.openxmlformats.org/officeDocument/2006/relationships/hyperlink" Target="126_truong_Mien_Tinh_Truong_Nganh.xlsx" TargetMode="External" Id="rId94"/><Relationship Type="http://schemas.openxmlformats.org/officeDocument/2006/relationships/hyperlink" Target="https://thanglong.edu.vn/" TargetMode="External" Id="rId95"/><Relationship Type="http://schemas.openxmlformats.org/officeDocument/2006/relationships/hyperlink" Target="https://tuyensinh.thanglong.edu.vn/" TargetMode="External" Id="rId96"/><Relationship Type="http://schemas.openxmlformats.org/officeDocument/2006/relationships/hyperlink" Target="126_truong_Mien_Tinh_Truong_Nganh.xlsx" TargetMode="External" Id="rId97"/><Relationship Type="http://schemas.openxmlformats.org/officeDocument/2006/relationships/hyperlink" Target="https://cmc-u.edu.vn/" TargetMode="External" Id="rId98"/><Relationship Type="http://schemas.openxmlformats.org/officeDocument/2006/relationships/hyperlink" Target="https://tuyensinh.cmc-u.edu.vn/" TargetMode="External" Id="rId99"/><Relationship Type="http://schemas.openxmlformats.org/officeDocument/2006/relationships/hyperlink" Target="126_truong_Mien_Tinh_Truong_Nganh.xlsx" TargetMode="External" Id="rId100"/><Relationship Type="http://schemas.openxmlformats.org/officeDocument/2006/relationships/hyperlink" Target="https://dainam.edu.vn/" TargetMode="External" Id="rId101"/><Relationship Type="http://schemas.openxmlformats.org/officeDocument/2006/relationships/hyperlink" Target="https://tuyensinh.dainam.edu.vn/" TargetMode="External" Id="rId102"/><Relationship Type="http://schemas.openxmlformats.org/officeDocument/2006/relationships/hyperlink" Target="126_truong_Mien_Tinh_Truong_Nganh.xlsx" TargetMode="External" Id="rId103"/><Relationship Type="http://schemas.openxmlformats.org/officeDocument/2006/relationships/hyperlink" Target="https://hubt.edu.vn/" TargetMode="External" Id="rId104"/><Relationship Type="http://schemas.openxmlformats.org/officeDocument/2006/relationships/hyperlink" Target="https://tuyensinh.hubt.edu.vn/" TargetMode="External" Id="rId105"/><Relationship Type="http://schemas.openxmlformats.org/officeDocument/2006/relationships/hyperlink" Target="126_truong_Mien_Tinh_Truong_Nganh.xlsx" TargetMode="External" Id="rId106"/><Relationship Type="http://schemas.openxmlformats.org/officeDocument/2006/relationships/hyperlink" Target="https://viu.edu.vn/" TargetMode="External" Id="rId107"/><Relationship Type="http://schemas.openxmlformats.org/officeDocument/2006/relationships/hyperlink" Target="https://tuyensinh.viu.edu.vn/" TargetMode="External" Id="rId108"/><Relationship Type="http://schemas.openxmlformats.org/officeDocument/2006/relationships/hyperlink" Target="126_truong_Mien_Tinh_Truong_Nganh.xlsx" TargetMode="External" Id="rId109"/><Relationship Type="http://schemas.openxmlformats.org/officeDocument/2006/relationships/hyperlink" Target="https://tueba.edu.vn/" TargetMode="External" Id="rId110"/><Relationship Type="http://schemas.openxmlformats.org/officeDocument/2006/relationships/hyperlink" Target="https://tuyensinh.tueba.edu.vn/" TargetMode="External" Id="rId111"/><Relationship Type="http://schemas.openxmlformats.org/officeDocument/2006/relationships/hyperlink" Target="126_truong_Mien_Tinh_Truong_Nganh.xlsx" TargetMode="External" Id="rId112"/><Relationship Type="http://schemas.openxmlformats.org/officeDocument/2006/relationships/hyperlink" Target="https://ictu.edu.vn/" TargetMode="External" Id="rId113"/><Relationship Type="http://schemas.openxmlformats.org/officeDocument/2006/relationships/hyperlink" Target="https://tuyensinh.ictu.edu.vn/" TargetMode="External" Id="rId114"/><Relationship Type="http://schemas.openxmlformats.org/officeDocument/2006/relationships/hyperlink" Target="126_truong_Mien_Tinh_Truong_Nganh.xlsx" TargetMode="External" Id="rId115"/><Relationship Type="http://schemas.openxmlformats.org/officeDocument/2006/relationships/hyperlink" Target="https://tnut.edu.vn/" TargetMode="External" Id="rId116"/><Relationship Type="http://schemas.openxmlformats.org/officeDocument/2006/relationships/hyperlink" Target="https://tuyensinh.tnut.edu.vn/" TargetMode="External" Id="rId117"/><Relationship Type="http://schemas.openxmlformats.org/officeDocument/2006/relationships/hyperlink" Target="126_truong_Mien_Tinh_Truong_Nganh.xlsx" TargetMode="External" Id="rId118"/><Relationship Type="http://schemas.openxmlformats.org/officeDocument/2006/relationships/hyperlink" Target="https://tuaf.edu.vn/" TargetMode="External" Id="rId119"/><Relationship Type="http://schemas.openxmlformats.org/officeDocument/2006/relationships/hyperlink" Target="https://tuyensinh.tuaf.edu.vn/" TargetMode="External" Id="rId120"/><Relationship Type="http://schemas.openxmlformats.org/officeDocument/2006/relationships/hyperlink" Target="126_truong_Mien_Tinh_Truong_Nganh.xlsx" TargetMode="External" Id="rId121"/><Relationship Type="http://schemas.openxmlformats.org/officeDocument/2006/relationships/hyperlink" Target="https://tump.edu.vn/" TargetMode="External" Id="rId122"/><Relationship Type="http://schemas.openxmlformats.org/officeDocument/2006/relationships/hyperlink" Target="https://tuyensinh.tump.edu.vn/" TargetMode="External" Id="rId123"/><Relationship Type="http://schemas.openxmlformats.org/officeDocument/2006/relationships/hyperlink" Target="126_truong_Mien_Tinh_Truong_Nganh.xlsx" TargetMode="External" Id="rId124"/><Relationship Type="http://schemas.openxmlformats.org/officeDocument/2006/relationships/hyperlink" Target="https://tnue.edu.vn/" TargetMode="External" Id="rId125"/><Relationship Type="http://schemas.openxmlformats.org/officeDocument/2006/relationships/hyperlink" Target="https://tuyensinh.tnue.edu.vn/" TargetMode="External" Id="rId126"/><Relationship Type="http://schemas.openxmlformats.org/officeDocument/2006/relationships/hyperlink" Target="126_truong_Mien_Tinh_Truong_Nganh.xlsx" TargetMode="External" Id="rId127"/><Relationship Type="http://schemas.openxmlformats.org/officeDocument/2006/relationships/hyperlink" Target="https://dhhp.edu.vn/" TargetMode="External" Id="rId128"/><Relationship Type="http://schemas.openxmlformats.org/officeDocument/2006/relationships/hyperlink" Target="https://tuyensinh.dhhp.edu.vn/" TargetMode="External" Id="rId129"/><Relationship Type="http://schemas.openxmlformats.org/officeDocument/2006/relationships/hyperlink" Target="126_truong_Mien_Tinh_Truong_Nganh.xlsx" TargetMode="External" Id="rId130"/><Relationship Type="http://schemas.openxmlformats.org/officeDocument/2006/relationships/hyperlink" Target="https://vimaru.edu.vn/" TargetMode="External" Id="rId131"/><Relationship Type="http://schemas.openxmlformats.org/officeDocument/2006/relationships/hyperlink" Target="https://tuyensinh.vimaru.edu.vn/" TargetMode="External" Id="rId132"/><Relationship Type="http://schemas.openxmlformats.org/officeDocument/2006/relationships/hyperlink" Target="126_truong_Mien_Tinh_Truong_Nganh.xlsx" TargetMode="External" Id="rId133"/><Relationship Type="http://schemas.openxmlformats.org/officeDocument/2006/relationships/hyperlink" Target="https://hmt.edu.vn/" TargetMode="External" Id="rId134"/><Relationship Type="http://schemas.openxmlformats.org/officeDocument/2006/relationships/hyperlink" Target="https://tuyensinh.hmt.edu.vn/" TargetMode="External" Id="rId135"/><Relationship Type="http://schemas.openxmlformats.org/officeDocument/2006/relationships/hyperlink" Target="126_truong_Mien_Tinh_Truong_Nganh.xlsx" TargetMode="External" Id="rId136"/><Relationship Type="http://schemas.openxmlformats.org/officeDocument/2006/relationships/hyperlink" Target="https://utehy.edu.vn/" TargetMode="External" Id="rId137"/><Relationship Type="http://schemas.openxmlformats.org/officeDocument/2006/relationships/hyperlink" Target="https://tuyensinh.utehy.edu.vn/" TargetMode="External" Id="rId138"/><Relationship Type="http://schemas.openxmlformats.org/officeDocument/2006/relationships/hyperlink" Target="126_truong_Mien_Tinh_Truong_Nganh.xlsx" TargetMode="External" Id="rId139"/><Relationship Type="http://schemas.openxmlformats.org/officeDocument/2006/relationships/hyperlink" Target="https://vinhuni.edu.vn/" TargetMode="External" Id="rId140"/><Relationship Type="http://schemas.openxmlformats.org/officeDocument/2006/relationships/hyperlink" Target="https://tuyensinh.vinhuni.edu.vn/" TargetMode="External" Id="rId141"/><Relationship Type="http://schemas.openxmlformats.org/officeDocument/2006/relationships/hyperlink" Target="126_truong_Mien_Tinh_Truong_Nganh.xlsx" TargetMode="External" Id="rId142"/><Relationship Type="http://schemas.openxmlformats.org/officeDocument/2006/relationships/hyperlink" Target="https://dut.udn.vn/" TargetMode="External" Id="rId143"/><Relationship Type="http://schemas.openxmlformats.org/officeDocument/2006/relationships/hyperlink" Target="https://tuyensinh.dut.udn.vn/" TargetMode="External" Id="rId144"/><Relationship Type="http://schemas.openxmlformats.org/officeDocument/2006/relationships/hyperlink" Target="126_truong_Mien_Tinh_Truong_Nganh.xlsx" TargetMode="External" Id="rId145"/><Relationship Type="http://schemas.openxmlformats.org/officeDocument/2006/relationships/hyperlink" Target="https://due.udn.vn/" TargetMode="External" Id="rId146"/><Relationship Type="http://schemas.openxmlformats.org/officeDocument/2006/relationships/hyperlink" Target="https://tuyensinh.due.udn.vn/" TargetMode="External" Id="rId147"/><Relationship Type="http://schemas.openxmlformats.org/officeDocument/2006/relationships/hyperlink" Target="126_truong_Mien_Tinh_Truong_Nganh.xlsx" TargetMode="External" Id="rId148"/><Relationship Type="http://schemas.openxmlformats.org/officeDocument/2006/relationships/hyperlink" Target="https://ued.udn.vn/" TargetMode="External" Id="rId149"/><Relationship Type="http://schemas.openxmlformats.org/officeDocument/2006/relationships/hyperlink" Target="https://tuyensinh.ued.udn.vn/" TargetMode="External" Id="rId150"/><Relationship Type="http://schemas.openxmlformats.org/officeDocument/2006/relationships/hyperlink" Target="126_truong_Mien_Tinh_Truong_Nganh.xlsx" TargetMode="External" Id="rId151"/><Relationship Type="http://schemas.openxmlformats.org/officeDocument/2006/relationships/hyperlink" Target="https://ump.udn.vn/" TargetMode="External" Id="rId152"/><Relationship Type="http://schemas.openxmlformats.org/officeDocument/2006/relationships/hyperlink" Target="https://tuyensinh.ump.udn.vn/" TargetMode="External" Id="rId153"/><Relationship Type="http://schemas.openxmlformats.org/officeDocument/2006/relationships/hyperlink" Target="126_truong_Mien_Tinh_Truong_Nganh.xlsx" TargetMode="External" Id="rId154"/><Relationship Type="http://schemas.openxmlformats.org/officeDocument/2006/relationships/hyperlink" Target="https://ufl.udn.vn/" TargetMode="External" Id="rId155"/><Relationship Type="http://schemas.openxmlformats.org/officeDocument/2006/relationships/hyperlink" Target="https://tuyensinh.ufl.udn.vn/" TargetMode="External" Id="rId156"/><Relationship Type="http://schemas.openxmlformats.org/officeDocument/2006/relationships/hyperlink" Target="126_truong_Mien_Tinh_Truong_Nganh.xlsx" TargetMode="External" Id="rId157"/><Relationship Type="http://schemas.openxmlformats.org/officeDocument/2006/relationships/hyperlink" Target="https://duytan.edu.vn/" TargetMode="External" Id="rId158"/><Relationship Type="http://schemas.openxmlformats.org/officeDocument/2006/relationships/hyperlink" Target="https://tuyensinh.duytan.edu.vn/" TargetMode="External" Id="rId159"/><Relationship Type="http://schemas.openxmlformats.org/officeDocument/2006/relationships/hyperlink" Target="126_truong_Mien_Tinh_Truong_Nganh.xlsx" TargetMode="External" Id="rId160"/><Relationship Type="http://schemas.openxmlformats.org/officeDocument/2006/relationships/hyperlink" Target="https://donga.edu.vn/" TargetMode="External" Id="rId161"/><Relationship Type="http://schemas.openxmlformats.org/officeDocument/2006/relationships/hyperlink" Target="https://tuyensinh.donga.edu.vn/" TargetMode="External" Id="rId162"/><Relationship Type="http://schemas.openxmlformats.org/officeDocument/2006/relationships/hyperlink" Target="126_truong_Mien_Tinh_Truong_Nganh.xlsx" TargetMode="External" Id="rId163"/><Relationship Type="http://schemas.openxmlformats.org/officeDocument/2006/relationships/hyperlink" Target="https://husc.edu.vn/" TargetMode="External" Id="rId164"/><Relationship Type="http://schemas.openxmlformats.org/officeDocument/2006/relationships/hyperlink" Target="https://tuyensinh.husc.edu.vn/" TargetMode="External" Id="rId165"/><Relationship Type="http://schemas.openxmlformats.org/officeDocument/2006/relationships/hyperlink" Target="126_truong_Mien_Tinh_Truong_Nganh.xlsx" TargetMode="External" Id="rId166"/><Relationship Type="http://schemas.openxmlformats.org/officeDocument/2006/relationships/hyperlink" Target="https://hce.edu.vn/" TargetMode="External" Id="rId167"/><Relationship Type="http://schemas.openxmlformats.org/officeDocument/2006/relationships/hyperlink" Target="https://tuyensinh.hce.edu.vn/" TargetMode="External" Id="rId168"/><Relationship Type="http://schemas.openxmlformats.org/officeDocument/2006/relationships/hyperlink" Target="126_truong_Mien_Tinh_Truong_Nganh.xlsx" TargetMode="External" Id="rId169"/><Relationship Type="http://schemas.openxmlformats.org/officeDocument/2006/relationships/hyperlink" Target="https://hul.edu.vn/" TargetMode="External" Id="rId170"/><Relationship Type="http://schemas.openxmlformats.org/officeDocument/2006/relationships/hyperlink" Target="https://tuyensinh.hul.edu.vn/" TargetMode="External" Id="rId171"/><Relationship Type="http://schemas.openxmlformats.org/officeDocument/2006/relationships/hyperlink" Target="126_truong_Mien_Tinh_Truong_Nganh.xlsx" TargetMode="External" Id="rId172"/><Relationship Type="http://schemas.openxmlformats.org/officeDocument/2006/relationships/hyperlink" Target="https://dhsphue.edu.vn/" TargetMode="External" Id="rId173"/><Relationship Type="http://schemas.openxmlformats.org/officeDocument/2006/relationships/hyperlink" Target="https://tuyensinh.dhsphue.edu.vn/" TargetMode="External" Id="rId174"/><Relationship Type="http://schemas.openxmlformats.org/officeDocument/2006/relationships/hyperlink" Target="126_truong_Mien_Tinh_Truong_Nganh.xlsx" TargetMode="External" Id="rId175"/><Relationship Type="http://schemas.openxmlformats.org/officeDocument/2006/relationships/hyperlink" Target="https://huemed-univ.edu.vn/" TargetMode="External" Id="rId176"/><Relationship Type="http://schemas.openxmlformats.org/officeDocument/2006/relationships/hyperlink" Target="https://tuyensinh.huemed-univ.edu.vn/" TargetMode="External" Id="rId177"/><Relationship Type="http://schemas.openxmlformats.org/officeDocument/2006/relationships/hyperlink" Target="126_truong_Mien_Tinh_Truong_Nganh.xlsx" TargetMode="External" Id="rId178"/><Relationship Type="http://schemas.openxmlformats.org/officeDocument/2006/relationships/hyperlink" Target="https://hufa.edu.vn/" TargetMode="External" Id="rId179"/><Relationship Type="http://schemas.openxmlformats.org/officeDocument/2006/relationships/hyperlink" Target="https://tuyensinh.hufa.edu.vn/" TargetMode="External" Id="rId180"/><Relationship Type="http://schemas.openxmlformats.org/officeDocument/2006/relationships/hyperlink" Target="126_truong_Mien_Tinh_Truong_Nganh.xlsx" TargetMode="External" Id="rId181"/><Relationship Type="http://schemas.openxmlformats.org/officeDocument/2006/relationships/hyperlink" Target="https://huht.edu.vn/" TargetMode="External" Id="rId182"/><Relationship Type="http://schemas.openxmlformats.org/officeDocument/2006/relationships/hyperlink" Target="https://tuyensinh.huht.edu.vn/" TargetMode="External" Id="rId183"/><Relationship Type="http://schemas.openxmlformats.org/officeDocument/2006/relationships/hyperlink" Target="126_truong_Mien_Tinh_Truong_Nganh.xlsx" TargetMode="External" Id="rId184"/><Relationship Type="http://schemas.openxmlformats.org/officeDocument/2006/relationships/hyperlink" Target="https://huaf.edu.vn/" TargetMode="External" Id="rId185"/><Relationship Type="http://schemas.openxmlformats.org/officeDocument/2006/relationships/hyperlink" Target="https://tuyensinh.huaf.edu.vn/" TargetMode="External" Id="rId186"/><Relationship Type="http://schemas.openxmlformats.org/officeDocument/2006/relationships/hyperlink" Target="126_truong_Mien_Tinh_Truong_Nganh.xlsx" TargetMode="External" Id="rId187"/><Relationship Type="http://schemas.openxmlformats.org/officeDocument/2006/relationships/hyperlink" Target="https://ntu.edu.vn/" TargetMode="External" Id="rId188"/><Relationship Type="http://schemas.openxmlformats.org/officeDocument/2006/relationships/hyperlink" Target="https://tuyensinh.ntu.edu.vn/" TargetMode="External" Id="rId189"/><Relationship Type="http://schemas.openxmlformats.org/officeDocument/2006/relationships/hyperlink" Target="126_truong_Mien_Tinh_Truong_Nganh.xlsx" TargetMode="External" Id="rId190"/><Relationship Type="http://schemas.openxmlformats.org/officeDocument/2006/relationships/hyperlink" Target="https://qnu.edu.vn/" TargetMode="External" Id="rId191"/><Relationship Type="http://schemas.openxmlformats.org/officeDocument/2006/relationships/hyperlink" Target="https://tuyensinh.qnu.edu.vn/" TargetMode="External" Id="rId192"/><Relationship Type="http://schemas.openxmlformats.org/officeDocument/2006/relationships/hyperlink" Target="126_truong_Mien_Tinh_Truong_Nganh.xlsx" TargetMode="External" Id="rId193"/><Relationship Type="http://schemas.openxmlformats.org/officeDocument/2006/relationships/hyperlink" Target="https://dlu.edu.vn/" TargetMode="External" Id="rId194"/><Relationship Type="http://schemas.openxmlformats.org/officeDocument/2006/relationships/hyperlink" Target="https://tuyensinh.dlu.edu.vn/" TargetMode="External" Id="rId195"/><Relationship Type="http://schemas.openxmlformats.org/officeDocument/2006/relationships/hyperlink" Target="126_truong_Mien_Tinh_Truong_Nganh.xlsx" TargetMode="External" Id="rId196"/><Relationship Type="http://schemas.openxmlformats.org/officeDocument/2006/relationships/hyperlink" Target="https://ttn.edu.vn/" TargetMode="External" Id="rId197"/><Relationship Type="http://schemas.openxmlformats.org/officeDocument/2006/relationships/hyperlink" Target="https://tuyensinh.ttn.edu.vn/" TargetMode="External" Id="rId198"/><Relationship Type="http://schemas.openxmlformats.org/officeDocument/2006/relationships/hyperlink" Target="126_truong_Mien_Tinh_Truong_Nganh.xlsx" TargetMode="External" Id="rId199"/><Relationship Type="http://schemas.openxmlformats.org/officeDocument/2006/relationships/hyperlink" Target="https://hdu.edu.vn/" TargetMode="External" Id="rId200"/><Relationship Type="http://schemas.openxmlformats.org/officeDocument/2006/relationships/hyperlink" Target="https://tuyensinh.hdu.edu.vn/" TargetMode="External" Id="rId201"/><Relationship Type="http://schemas.openxmlformats.org/officeDocument/2006/relationships/hyperlink" Target="126_truong_Mien_Tinh_Truong_Nganh.xlsx" TargetMode="External" Id="rId202"/><Relationship Type="http://schemas.openxmlformats.org/officeDocument/2006/relationships/hyperlink" Target="https://hcmut.edu.vn/" TargetMode="External" Id="rId203"/><Relationship Type="http://schemas.openxmlformats.org/officeDocument/2006/relationships/hyperlink" Target="https://tuyensinh.hcmut.edu.vn/" TargetMode="External" Id="rId204"/><Relationship Type="http://schemas.openxmlformats.org/officeDocument/2006/relationships/hyperlink" Target="126_truong_Mien_Tinh_Truong_Nganh.xlsx" TargetMode="External" Id="rId205"/><Relationship Type="http://schemas.openxmlformats.org/officeDocument/2006/relationships/hyperlink" Target="https://hcmus.edu.vn/" TargetMode="External" Id="rId206"/><Relationship Type="http://schemas.openxmlformats.org/officeDocument/2006/relationships/hyperlink" Target="https://tuyensinh.hcmus.edu.vn/" TargetMode="External" Id="rId207"/><Relationship Type="http://schemas.openxmlformats.org/officeDocument/2006/relationships/hyperlink" Target="126_truong_Mien_Tinh_Truong_Nganh.xlsx" TargetMode="External" Id="rId208"/><Relationship Type="http://schemas.openxmlformats.org/officeDocument/2006/relationships/hyperlink" Target="https://uit.edu.vn/" TargetMode="External" Id="rId209"/><Relationship Type="http://schemas.openxmlformats.org/officeDocument/2006/relationships/hyperlink" Target="https://tuyensinh.uit.edu.vn/" TargetMode="External" Id="rId210"/><Relationship Type="http://schemas.openxmlformats.org/officeDocument/2006/relationships/hyperlink" Target="126_truong_Mien_Tinh_Truong_Nganh.xlsx" TargetMode="External" Id="rId211"/><Relationship Type="http://schemas.openxmlformats.org/officeDocument/2006/relationships/hyperlink" Target="https://uel.edu.vn/" TargetMode="External" Id="rId212"/><Relationship Type="http://schemas.openxmlformats.org/officeDocument/2006/relationships/hyperlink" Target="https://tuyensinh.uel.edu.vn/" TargetMode="External" Id="rId213"/><Relationship Type="http://schemas.openxmlformats.org/officeDocument/2006/relationships/hyperlink" Target="126_truong_Mien_Tinh_Truong_Nganh.xlsx" TargetMode="External" Id="rId214"/><Relationship Type="http://schemas.openxmlformats.org/officeDocument/2006/relationships/hyperlink" Target="https://hcmiu.edu.vn/" TargetMode="External" Id="rId215"/><Relationship Type="http://schemas.openxmlformats.org/officeDocument/2006/relationships/hyperlink" Target="https://tuyensinh.hcmiu.edu.vn/" TargetMode="External" Id="rId216"/><Relationship Type="http://schemas.openxmlformats.org/officeDocument/2006/relationships/hyperlink" Target="126_truong_Mien_Tinh_Truong_Nganh.xlsx" TargetMode="External" Id="rId217"/><Relationship Type="http://schemas.openxmlformats.org/officeDocument/2006/relationships/hyperlink" Target="https://hcmussh.edu.vn/" TargetMode="External" Id="rId218"/><Relationship Type="http://schemas.openxmlformats.org/officeDocument/2006/relationships/hyperlink" Target="https://tuyensinh.hcmussh.edu.vn/" TargetMode="External" Id="rId219"/><Relationship Type="http://schemas.openxmlformats.org/officeDocument/2006/relationships/hyperlink" Target="126_truong_Mien_Tinh_Truong_Nganh.xlsx" TargetMode="External" Id="rId220"/><Relationship Type="http://schemas.openxmlformats.org/officeDocument/2006/relationships/hyperlink" Target="https://ueh.edu.vn/" TargetMode="External" Id="rId221"/><Relationship Type="http://schemas.openxmlformats.org/officeDocument/2006/relationships/hyperlink" Target="https://tuyensinh.ueh.edu.vn/" TargetMode="External" Id="rId222"/><Relationship Type="http://schemas.openxmlformats.org/officeDocument/2006/relationships/hyperlink" Target="126_truong_Mien_Tinh_Truong_Nganh.xlsx" TargetMode="External" Id="rId223"/><Relationship Type="http://schemas.openxmlformats.org/officeDocument/2006/relationships/hyperlink" Target="https://tdtu.edu.vn/" TargetMode="External" Id="rId224"/><Relationship Type="http://schemas.openxmlformats.org/officeDocument/2006/relationships/hyperlink" Target="https://tuyensinh.tdtu.edu.vn/" TargetMode="External" Id="rId225"/><Relationship Type="http://schemas.openxmlformats.org/officeDocument/2006/relationships/hyperlink" Target="126_truong_Mien_Tinh_Truong_Nganh.xlsx" TargetMode="External" Id="rId226"/><Relationship Type="http://schemas.openxmlformats.org/officeDocument/2006/relationships/hyperlink" Target="https://hcmue.edu.vn/" TargetMode="External" Id="rId227"/><Relationship Type="http://schemas.openxmlformats.org/officeDocument/2006/relationships/hyperlink" Target="https://tuyensinh.hcmue.edu.vn/" TargetMode="External" Id="rId228"/><Relationship Type="http://schemas.openxmlformats.org/officeDocument/2006/relationships/hyperlink" Target="126_truong_Mien_Tinh_Truong_Nganh.xlsx" TargetMode="External" Id="rId229"/><Relationship Type="http://schemas.openxmlformats.org/officeDocument/2006/relationships/hyperlink" Target="https://hcmute.edu.vn/" TargetMode="External" Id="rId230"/><Relationship Type="http://schemas.openxmlformats.org/officeDocument/2006/relationships/hyperlink" Target="https://tuyensinh.hcmute.edu.vn/" TargetMode="External" Id="rId231"/><Relationship Type="http://schemas.openxmlformats.org/officeDocument/2006/relationships/hyperlink" Target="126_truong_Mien_Tinh_Truong_Nganh.xlsx" TargetMode="External" Id="rId232"/><Relationship Type="http://schemas.openxmlformats.org/officeDocument/2006/relationships/hyperlink" Target="https://iuh.edu.vn/" TargetMode="External" Id="rId233"/><Relationship Type="http://schemas.openxmlformats.org/officeDocument/2006/relationships/hyperlink" Target="https://tuyensinh.iuh.edu.vn/" TargetMode="External" Id="rId234"/><Relationship Type="http://schemas.openxmlformats.org/officeDocument/2006/relationships/hyperlink" Target="126_truong_Mien_Tinh_Truong_Nganh.xlsx" TargetMode="External" Id="rId235"/><Relationship Type="http://schemas.openxmlformats.org/officeDocument/2006/relationships/hyperlink" Target="https://huit.edu.vn/" TargetMode="External" Id="rId236"/><Relationship Type="http://schemas.openxmlformats.org/officeDocument/2006/relationships/hyperlink" Target="https://tuyensinh.huit.edu.vn/" TargetMode="External" Id="rId237"/><Relationship Type="http://schemas.openxmlformats.org/officeDocument/2006/relationships/hyperlink" Target="126_truong_Mien_Tinh_Truong_Nganh.xlsx" TargetMode="External" Id="rId238"/><Relationship Type="http://schemas.openxmlformats.org/officeDocument/2006/relationships/hyperlink" Target="https://ut.edu.vn/" TargetMode="External" Id="rId239"/><Relationship Type="http://schemas.openxmlformats.org/officeDocument/2006/relationships/hyperlink" Target="https://tuyensinh.ut.edu.vn/" TargetMode="External" Id="rId240"/><Relationship Type="http://schemas.openxmlformats.org/officeDocument/2006/relationships/hyperlink" Target="126_truong_Mien_Tinh_Truong_Nganh.xlsx" TargetMode="External" Id="rId241"/><Relationship Type="http://schemas.openxmlformats.org/officeDocument/2006/relationships/hyperlink" Target="https://ou.edu.vn/" TargetMode="External" Id="rId242"/><Relationship Type="http://schemas.openxmlformats.org/officeDocument/2006/relationships/hyperlink" Target="https://tuyensinh.ou.edu.vn/" TargetMode="External" Id="rId243"/><Relationship Type="http://schemas.openxmlformats.org/officeDocument/2006/relationships/hyperlink" Target="126_truong_Mien_Tinh_Truong_Nganh.xlsx" TargetMode="External" Id="rId244"/><Relationship Type="http://schemas.openxmlformats.org/officeDocument/2006/relationships/hyperlink" Target="https://ufm.edu.vn/" TargetMode="External" Id="rId245"/><Relationship Type="http://schemas.openxmlformats.org/officeDocument/2006/relationships/hyperlink" Target="https://tuyensinh.ufm.edu.vn/" TargetMode="External" Id="rId246"/><Relationship Type="http://schemas.openxmlformats.org/officeDocument/2006/relationships/hyperlink" Target="126_truong_Mien_Tinh_Truong_Nganh.xlsx" TargetMode="External" Id="rId247"/><Relationship Type="http://schemas.openxmlformats.org/officeDocument/2006/relationships/hyperlink" Target="https://hub.edu.vn/" TargetMode="External" Id="rId248"/><Relationship Type="http://schemas.openxmlformats.org/officeDocument/2006/relationships/hyperlink" Target="https://tuyensinh.hub.edu.vn/" TargetMode="External" Id="rId249"/><Relationship Type="http://schemas.openxmlformats.org/officeDocument/2006/relationships/hyperlink" Target="126_truong_Mien_Tinh_Truong_Nganh.xlsx" TargetMode="External" Id="rId250"/><Relationship Type="http://schemas.openxmlformats.org/officeDocument/2006/relationships/hyperlink" Target="https://hcmulaw.edu.vn/" TargetMode="External" Id="rId251"/><Relationship Type="http://schemas.openxmlformats.org/officeDocument/2006/relationships/hyperlink" Target="https://tuyensinh.hcmulaw.edu.vn/" TargetMode="External" Id="rId252"/><Relationship Type="http://schemas.openxmlformats.org/officeDocument/2006/relationships/hyperlink" Target="126_truong_Mien_Tinh_Truong_Nganh.xlsx" TargetMode="External" Id="rId253"/><Relationship Type="http://schemas.openxmlformats.org/officeDocument/2006/relationships/hyperlink" Target="https://uah.edu.vn/" TargetMode="External" Id="rId254"/><Relationship Type="http://schemas.openxmlformats.org/officeDocument/2006/relationships/hyperlink" Target="https://tuyensinh.uah.edu.vn/" TargetMode="External" Id="rId255"/><Relationship Type="http://schemas.openxmlformats.org/officeDocument/2006/relationships/hyperlink" Target="126_truong_Mien_Tinh_Truong_Nganh.xlsx" TargetMode="External" Id="rId256"/><Relationship Type="http://schemas.openxmlformats.org/officeDocument/2006/relationships/hyperlink" Target="https://hufa.edu.vn/" TargetMode="External" Id="rId257"/><Relationship Type="http://schemas.openxmlformats.org/officeDocument/2006/relationships/hyperlink" Target="https://tuyensinh.hufa.edu.vn/" TargetMode="External" Id="rId258"/><Relationship Type="http://schemas.openxmlformats.org/officeDocument/2006/relationships/hyperlink" Target="126_truong_Mien_Tinh_Truong_Nganh.xlsx" TargetMode="External" Id="rId259"/><Relationship Type="http://schemas.openxmlformats.org/officeDocument/2006/relationships/hyperlink" Target="https://hcmuc.edu.vn/" TargetMode="External" Id="rId260"/><Relationship Type="http://schemas.openxmlformats.org/officeDocument/2006/relationships/hyperlink" Target="https://tuyensinh.hcmuc.edu.vn/" TargetMode="External" Id="rId261"/><Relationship Type="http://schemas.openxmlformats.org/officeDocument/2006/relationships/hyperlink" Target="126_truong_Mien_Tinh_Truong_Nganh.xlsx" TargetMode="External" Id="rId262"/><Relationship Type="http://schemas.openxmlformats.org/officeDocument/2006/relationships/hyperlink" Target="https://ump.edu.vn/" TargetMode="External" Id="rId263"/><Relationship Type="http://schemas.openxmlformats.org/officeDocument/2006/relationships/hyperlink" Target="https://tuyensinh.ump.edu.vn/" TargetMode="External" Id="rId264"/><Relationship Type="http://schemas.openxmlformats.org/officeDocument/2006/relationships/hyperlink" Target="126_truong_Mien_Tinh_Truong_Nganh.xlsx" TargetMode="External" Id="rId265"/><Relationship Type="http://schemas.openxmlformats.org/officeDocument/2006/relationships/hyperlink" Target="https://pnt.edu.vn/" TargetMode="External" Id="rId266"/><Relationship Type="http://schemas.openxmlformats.org/officeDocument/2006/relationships/hyperlink" Target="https://tuyensinh.pnt.edu.vn/" TargetMode="External" Id="rId267"/><Relationship Type="http://schemas.openxmlformats.org/officeDocument/2006/relationships/hyperlink" Target="126_truong_Mien_Tinh_Truong_Nganh.xlsx" TargetMode="External" Id="rId268"/><Relationship Type="http://schemas.openxmlformats.org/officeDocument/2006/relationships/hyperlink" Target="https://hcmuaf.edu.vn/" TargetMode="External" Id="rId269"/><Relationship Type="http://schemas.openxmlformats.org/officeDocument/2006/relationships/hyperlink" Target="https://tuyensinh.hcmuaf.edu.vn/" TargetMode="External" Id="rId270"/><Relationship Type="http://schemas.openxmlformats.org/officeDocument/2006/relationships/hyperlink" Target="126_truong_Mien_Tinh_Truong_Nganh.xlsx" TargetMode="External" Id="rId271"/><Relationship Type="http://schemas.openxmlformats.org/officeDocument/2006/relationships/hyperlink" Target="https://hcmunre.edu.vn/" TargetMode="External" Id="rId272"/><Relationship Type="http://schemas.openxmlformats.org/officeDocument/2006/relationships/hyperlink" Target="https://tuyensinh.hcmunre.edu.vn/" TargetMode="External" Id="rId273"/><Relationship Type="http://schemas.openxmlformats.org/officeDocument/2006/relationships/hyperlink" Target="126_truong_Mien_Tinh_Truong_Nganh.xlsx" TargetMode="External" Id="rId274"/><Relationship Type="http://schemas.openxmlformats.org/officeDocument/2006/relationships/hyperlink" Target="https://hutech.edu.vn/" TargetMode="External" Id="rId275"/><Relationship Type="http://schemas.openxmlformats.org/officeDocument/2006/relationships/hyperlink" Target="https://tuyensinh.hutech.edu.vn/" TargetMode="External" Id="rId276"/><Relationship Type="http://schemas.openxmlformats.org/officeDocument/2006/relationships/hyperlink" Target="126_truong_Mien_Tinh_Truong_Nganh.xlsx" TargetMode="External" Id="rId277"/><Relationship Type="http://schemas.openxmlformats.org/officeDocument/2006/relationships/hyperlink" Target="https://uef.edu.vn/" TargetMode="External" Id="rId278"/><Relationship Type="http://schemas.openxmlformats.org/officeDocument/2006/relationships/hyperlink" Target="https://tuyensinh.uef.edu.vn/" TargetMode="External" Id="rId279"/><Relationship Type="http://schemas.openxmlformats.org/officeDocument/2006/relationships/hyperlink" Target="126_truong_Mien_Tinh_Truong_Nganh.xlsx" TargetMode="External" Id="rId280"/><Relationship Type="http://schemas.openxmlformats.org/officeDocument/2006/relationships/hyperlink" Target="https://hoasen.edu.vn/" TargetMode="External" Id="rId281"/><Relationship Type="http://schemas.openxmlformats.org/officeDocument/2006/relationships/hyperlink" Target="https://tuyensinh.hoasen.edu.vn/" TargetMode="External" Id="rId282"/><Relationship Type="http://schemas.openxmlformats.org/officeDocument/2006/relationships/hyperlink" Target="126_truong_Mien_Tinh_Truong_Nganh.xlsx" TargetMode="External" Id="rId283"/><Relationship Type="http://schemas.openxmlformats.org/officeDocument/2006/relationships/hyperlink" Target="https://ntt.edu.vn/" TargetMode="External" Id="rId284"/><Relationship Type="http://schemas.openxmlformats.org/officeDocument/2006/relationships/hyperlink" Target="https://tuyensinh.ntt.edu.vn/" TargetMode="External" Id="rId285"/><Relationship Type="http://schemas.openxmlformats.org/officeDocument/2006/relationships/hyperlink" Target="126_truong_Mien_Tinh_Truong_Nganh.xlsx" TargetMode="External" Id="rId286"/><Relationship Type="http://schemas.openxmlformats.org/officeDocument/2006/relationships/hyperlink" Target="https://vanlanguni.edu.vn/" TargetMode="External" Id="rId287"/><Relationship Type="http://schemas.openxmlformats.org/officeDocument/2006/relationships/hyperlink" Target="https://tuyensinh.vanlanguni.edu.vn/" TargetMode="External" Id="rId288"/><Relationship Type="http://schemas.openxmlformats.org/officeDocument/2006/relationships/hyperlink" Target="126_truong_Mien_Tinh_Truong_Nganh.xlsx" TargetMode="External" Id="rId289"/><Relationship Type="http://schemas.openxmlformats.org/officeDocument/2006/relationships/hyperlink" Target="https://lhu.edu.vn/" TargetMode="External" Id="rId290"/><Relationship Type="http://schemas.openxmlformats.org/officeDocument/2006/relationships/hyperlink" Target="https://tuyensinh.lhu.edu.vn/" TargetMode="External" Id="rId291"/><Relationship Type="http://schemas.openxmlformats.org/officeDocument/2006/relationships/hyperlink" Target="126_truong_Mien_Tinh_Truong_Nganh.xlsx" TargetMode="External" Id="rId292"/><Relationship Type="http://schemas.openxmlformats.org/officeDocument/2006/relationships/hyperlink" Target="https://vgu.edu.vn/" TargetMode="External" Id="rId293"/><Relationship Type="http://schemas.openxmlformats.org/officeDocument/2006/relationships/hyperlink" Target="https://tuyensinh.vgu.edu.vn/" TargetMode="External" Id="rId294"/><Relationship Type="http://schemas.openxmlformats.org/officeDocument/2006/relationships/hyperlink" Target="126_truong_Mien_Tinh_Truong_Nganh.xlsx" TargetMode="External" Id="rId295"/><Relationship Type="http://schemas.openxmlformats.org/officeDocument/2006/relationships/hyperlink" Target="https://tdmu.edu.vn/" TargetMode="External" Id="rId296"/><Relationship Type="http://schemas.openxmlformats.org/officeDocument/2006/relationships/hyperlink" Target="https://tuyensinh.tdmu.edu.vn/" TargetMode="External" Id="rId297"/><Relationship Type="http://schemas.openxmlformats.org/officeDocument/2006/relationships/hyperlink" Target="126_truong_Mien_Tinh_Truong_Nganh.xlsx" TargetMode="External" Id="rId298"/><Relationship Type="http://schemas.openxmlformats.org/officeDocument/2006/relationships/hyperlink" Target="https://ctu.edu.vn/" TargetMode="External" Id="rId299"/><Relationship Type="http://schemas.openxmlformats.org/officeDocument/2006/relationships/hyperlink" Target="https://tuyensinh.ctu.edu.vn/" TargetMode="External" Id="rId300"/><Relationship Type="http://schemas.openxmlformats.org/officeDocument/2006/relationships/hyperlink" Target="126_truong_Mien_Tinh_Truong_Nganh.xlsx" TargetMode="External" Id="rId301"/><Relationship Type="http://schemas.openxmlformats.org/officeDocument/2006/relationships/hyperlink" Target="https://mta.edu.vn/" TargetMode="External" Id="rId302"/><Relationship Type="http://schemas.openxmlformats.org/officeDocument/2006/relationships/hyperlink" Target="https://mta.edu.vn/" TargetMode="External" Id="rId303"/><Relationship Type="http://schemas.openxmlformats.org/officeDocument/2006/relationships/hyperlink" Target="126_truong_Mien_Tinh_Truong_Nganh.xlsx" TargetMode="External" Id="rId304"/><Relationship Type="http://schemas.openxmlformats.org/officeDocument/2006/relationships/hyperlink" Target="https://hvqy.edu.vn/" TargetMode="External" Id="rId305"/><Relationship Type="http://schemas.openxmlformats.org/officeDocument/2006/relationships/hyperlink" Target="https://tuyensinh.hvqy.edu.vn/" TargetMode="External" Id="rId306"/><Relationship Type="http://schemas.openxmlformats.org/officeDocument/2006/relationships/hyperlink" Target="126_truong_Mien_Tinh_Truong_Nganh.xlsx" TargetMode="External" Id="rId307"/><Relationship Type="http://schemas.openxmlformats.org/officeDocument/2006/relationships/hyperlink" Target="https://hocvienkhoahocquan.su.edu.vn/" TargetMode="External" Id="rId308"/><Relationship Type="http://schemas.openxmlformats.org/officeDocument/2006/relationships/hyperlink" Target="126_truong_Mien_Tinh_Truong_Nganh.xlsx" TargetMode="External" Id="rId309"/><Relationship Type="http://schemas.openxmlformats.org/officeDocument/2006/relationships/hyperlink" Target="https://hocvienbienphong.edu.vn/" TargetMode="External" Id="rId310"/><Relationship Type="http://schemas.openxmlformats.org/officeDocument/2006/relationships/hyperlink" Target="126_truong_Mien_Tinh_Truong_Nganh.xlsx" TargetMode="External" Id="rId311"/><Relationship Type="http://schemas.openxmlformats.org/officeDocument/2006/relationships/hyperlink" Target="https://hocvienhaucan.edu.vn/" TargetMode="External" Id="rId312"/><Relationship Type="http://schemas.openxmlformats.org/officeDocument/2006/relationships/hyperlink" Target="126_truong_Mien_Tinh_Truong_Nganh.xlsx" TargetMode="External" Id="rId313"/><Relationship Type="http://schemas.openxmlformats.org/officeDocument/2006/relationships/hyperlink" Target="https://hocvienpkkq.edu.vn/" TargetMode="External" Id="rId314"/><Relationship Type="http://schemas.openxmlformats.org/officeDocument/2006/relationships/hyperlink" Target="126_truong_Mien_Tinh_Truong_Nganh.xlsx" TargetMode="External" Id="rId315"/><Relationship Type="http://schemas.openxmlformats.org/officeDocument/2006/relationships/hyperlink" Target="https://hocvienhaiquan.edu.vn/" TargetMode="External" Id="rId316"/><Relationship Type="http://schemas.openxmlformats.org/officeDocument/2006/relationships/hyperlink" Target="126_truong_Mien_Tinh_Truong_Nganh.xlsx" TargetMode="External" Id="rId317"/><Relationship Type="http://schemas.openxmlformats.org/officeDocument/2006/relationships/hyperlink" Target="https://hocvienchinhtri.edu.vn/" TargetMode="External" Id="rId318"/><Relationship Type="http://schemas.openxmlformats.org/officeDocument/2006/relationships/hyperlink" Target="126_truong_Mien_Tinh_Truong_Nganh.xlsx" TargetMode="External" Id="rId319"/><Relationship Type="http://schemas.openxmlformats.org/officeDocument/2006/relationships/hyperlink" Target="https://truongsq1.edu.vn/" TargetMode="External" Id="rId320"/><Relationship Type="http://schemas.openxmlformats.org/officeDocument/2006/relationships/hyperlink" Target="126_truong_Mien_Tinh_Truong_Nganh.xlsx" TargetMode="External" Id="rId321"/><Relationship Type="http://schemas.openxmlformats.org/officeDocument/2006/relationships/hyperlink" Target="https://daihocnguyenHue.edu.vn/" TargetMode="External" Id="rId322"/><Relationship Type="http://schemas.openxmlformats.org/officeDocument/2006/relationships/hyperlink" Target="126_truong_Mien_Tinh_Truong_Nganh.xlsx" TargetMode="External" Id="rId323"/><Relationship Type="http://schemas.openxmlformats.org/officeDocument/2006/relationships/hyperlink" Target="https://truongdaccong.edu.vn/" TargetMode="External" Id="rId324"/><Relationship Type="http://schemas.openxmlformats.org/officeDocument/2006/relationships/hyperlink" Target="126_truong_Mien_Tinh_Truong_Nganh.xlsx" TargetMode="External" Id="rId325"/><Relationship Type="http://schemas.openxmlformats.org/officeDocument/2006/relationships/hyperlink" Target="https://truongphonghoa.edu.vn/" TargetMode="External" Id="rId326"/><Relationship Type="http://schemas.openxmlformats.org/officeDocument/2006/relationships/hyperlink" Target="126_truong_Mien_Tinh_Truong_Nganh.xlsx" TargetMode="External" Id="rId327"/><Relationship Type="http://schemas.openxmlformats.org/officeDocument/2006/relationships/hyperlink" Target="https://truongphaobinh.edu.vn/" TargetMode="External" Id="rId328"/><Relationship Type="http://schemas.openxmlformats.org/officeDocument/2006/relationships/hyperlink" Target="126_truong_Mien_Tinh_Truong_Nganh.xlsx" TargetMode="External" Id="rId329"/><Relationship Type="http://schemas.openxmlformats.org/officeDocument/2006/relationships/hyperlink" Target="https://truongcongbinh.edu.vn/" TargetMode="External" Id="rId330"/><Relationship Type="http://schemas.openxmlformats.org/officeDocument/2006/relationships/hyperlink" Target="126_truong_Mien_Tinh_Truong_Nganh.xlsx" TargetMode="External" Id="rId331"/><Relationship Type="http://schemas.openxmlformats.org/officeDocument/2006/relationships/hyperlink" Target="https://truongttg.edu.vn/" TargetMode="External" Id="rId332"/><Relationship Type="http://schemas.openxmlformats.org/officeDocument/2006/relationships/hyperlink" Target="126_truong_Mien_Tinh_Truong_Nganh.xlsx" TargetMode="External" Id="rId333"/><Relationship Type="http://schemas.openxmlformats.org/officeDocument/2006/relationships/hyperlink" Target="https://truongthongtin.edu.vn/" TargetMode="External" Id="rId334"/><Relationship Type="http://schemas.openxmlformats.org/officeDocument/2006/relationships/hyperlink" Target="126_truong_Mien_Tinh_Truong_Nganh.xlsx" TargetMode="External" Id="rId335"/><Relationship Type="http://schemas.openxmlformats.org/officeDocument/2006/relationships/hyperlink" Target="https://truongkhongquan.edu.vn/" TargetMode="External" Id="rId336"/><Relationship Type="http://schemas.openxmlformats.org/officeDocument/2006/relationships/hyperlink" Target="126_truong_Mien_Tinh_Truong_Nganh.xlsx" TargetMode="External" Id="rId337"/><Relationship Type="http://schemas.openxmlformats.org/officeDocument/2006/relationships/hyperlink" Target="https://trandainghia.edu.vn/" TargetMode="External" Id="rId338"/><Relationship Type="http://schemas.openxmlformats.org/officeDocument/2006/relationships/hyperlink" Target="126_truong_Mien_Tinh_Truong_Nganh.xlsx" TargetMode="External" Id="rId339"/><Relationship Type="http://schemas.openxmlformats.org/officeDocument/2006/relationships/hyperlink" Target="https://hvanninh.edu.vn/" TargetMode="External" Id="rId340"/><Relationship Type="http://schemas.openxmlformats.org/officeDocument/2006/relationships/hyperlink" Target="https://tuyensinh.hvanninh.edu.vn/" TargetMode="External" Id="rId341"/><Relationship Type="http://schemas.openxmlformats.org/officeDocument/2006/relationships/hyperlink" Target="126_truong_Mien_Tinh_Truong_Nganh.xlsx" TargetMode="External" Id="rId342"/><Relationship Type="http://schemas.openxmlformats.org/officeDocument/2006/relationships/hyperlink" Target="https://hvcsnd.edu.vn/" TargetMode="External" Id="rId343"/><Relationship Type="http://schemas.openxmlformats.org/officeDocument/2006/relationships/hyperlink" Target="https://tuyensinh.hvcsnd.edu.vn/" TargetMode="External" Id="rId344"/><Relationship Type="http://schemas.openxmlformats.org/officeDocument/2006/relationships/hyperlink" Target="126_truong_Mien_Tinh_Truong_Nganh.xlsx" TargetMode="External" Id="rId345"/><Relationship Type="http://schemas.openxmlformats.org/officeDocument/2006/relationships/hyperlink" Target="https://hocvienchinhtricand.edu.vn/" TargetMode="External" Id="rId346"/><Relationship Type="http://schemas.openxmlformats.org/officeDocument/2006/relationships/hyperlink" Target="126_truong_Mien_Tinh_Truong_Nganh.xlsx" TargetMode="External" Id="rId347"/><Relationship Type="http://schemas.openxmlformats.org/officeDocument/2006/relationships/hyperlink" Target="https://hocvienkythuatanninh.edu.vn/" TargetMode="External" Id="rId348"/><Relationship Type="http://schemas.openxmlformats.org/officeDocument/2006/relationships/hyperlink" Target="126_truong_Mien_Tinh_Truong_Nganh.xlsx" TargetMode="External" Id="rId349"/><Relationship Type="http://schemas.openxmlformats.org/officeDocument/2006/relationships/hyperlink" Target="https://dhanninh.edu.vn/" TargetMode="External" Id="rId350"/><Relationship Type="http://schemas.openxmlformats.org/officeDocument/2006/relationships/hyperlink" Target="https://tuyensinh.dhanninh.edu.vn/" TargetMode="External" Id="rId351"/><Relationship Type="http://schemas.openxmlformats.org/officeDocument/2006/relationships/hyperlink" Target="126_truong_Mien_Tinh_Truong_Nganh.xlsx" TargetMode="External" Id="rId352"/><Relationship Type="http://schemas.openxmlformats.org/officeDocument/2006/relationships/hyperlink" Target="https://dhcsnd.edu.vn/" TargetMode="External" Id="rId353"/><Relationship Type="http://schemas.openxmlformats.org/officeDocument/2006/relationships/hyperlink" Target="https://tuyensinh.dhcsnd.edu.vn/" TargetMode="External" Id="rId354"/><Relationship Type="http://schemas.openxmlformats.org/officeDocument/2006/relationships/hyperlink" Target="126_truong_Mien_Tinh_Truong_Nganh.xlsx" TargetMode="External" Id="rId355"/><Relationship Type="http://schemas.openxmlformats.org/officeDocument/2006/relationships/hyperlink" Target="https://daihocpccc.edu.vn/" TargetMode="External" Id="rId356"/><Relationship Type="http://schemas.openxmlformats.org/officeDocument/2006/relationships/hyperlink" Target="https://tuyensinh.daihocpccc.edu.vn/" TargetMode="External" Id="rId357"/><Relationship Type="http://schemas.openxmlformats.org/officeDocument/2006/relationships/hyperlink" Target="126_truong_Mien_Tinh_Truong_Nganh.xlsx" TargetMode="External" Id="rId358"/><Relationship Type="http://schemas.openxmlformats.org/officeDocument/2006/relationships/hyperlink" Target="https://ais.edu.vn/" TargetMode="External" Id="rId359"/><Relationship Type="http://schemas.openxmlformats.org/officeDocument/2006/relationships/hyperlink" Target="https://tuyensinh.ais.edu.vn/" TargetMode="External" Id="rId360"/></Relationships>
</file>

<file path=xl/worksheets/_rels/sheet3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ust.edu.vn/" TargetMode="External" Id="rId2"/><Relationship Type="http://schemas.openxmlformats.org/officeDocument/2006/relationships/hyperlink" Target="https://ts.hust.edu.vn/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neu.edu.vn/" TargetMode="External" Id="rId2"/><Relationship Type="http://schemas.openxmlformats.org/officeDocument/2006/relationships/hyperlink" Target="https://daotao.neu.edu.vn/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ftu.edu.vn/" TargetMode="External" Id="rId2"/><Relationship Type="http://schemas.openxmlformats.org/officeDocument/2006/relationships/hyperlink" Target="https://tuyensinh.ftu.edu.vn/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tmu.edu.vn/" TargetMode="External" Id="rId2"/><Relationship Type="http://schemas.openxmlformats.org/officeDocument/2006/relationships/hyperlink" Target="https://tuyensinh.tmu.edu.vn/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lu.edu.vn/" TargetMode="External" Id="rId2"/><Relationship Type="http://schemas.openxmlformats.org/officeDocument/2006/relationships/hyperlink" Target="https://tuyensinh.hlu.edu.vn/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us.vnu.edu.vn/" TargetMode="External" Id="rId2"/><Relationship Type="http://schemas.openxmlformats.org/officeDocument/2006/relationships/hyperlink" Target="https://tuyensinh.hus.vnu.edu.vn/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uet.vnu.edu.vn/" TargetMode="External" Id="rId2"/><Relationship Type="http://schemas.openxmlformats.org/officeDocument/2006/relationships/hyperlink" Target="https://tuyensinh.uet.vnu.edu.vn/" TargetMode="External" Id="rId3"/></Relationships>
</file>

<file path=xl/worksheets/_rels/sheet10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ueb.vnu.edu.vn/" TargetMode="External" Id="rId2"/><Relationship Type="http://schemas.openxmlformats.org/officeDocument/2006/relationships/hyperlink" Target="https://tuyensinh.ueb.edu.vn/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ussh.vnu.edu.vn/" TargetMode="External" Id="rId2"/><Relationship Type="http://schemas.openxmlformats.org/officeDocument/2006/relationships/hyperlink" Target="https://tuyensinh.ussh.edu.vn/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ulis.vnu.edu.vn/" TargetMode="External" Id="rId2"/><Relationship Type="http://schemas.openxmlformats.org/officeDocument/2006/relationships/hyperlink" Target="https://tuyensinh.ulis.vnu.edu.vn/" TargetMode="External" Id="rId3"/></Relationships>
</file>

<file path=xl/worksheets/_rels/sheet13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education.vnu.edu.vn/" TargetMode="External" Id="rId2"/><Relationship Type="http://schemas.openxmlformats.org/officeDocument/2006/relationships/hyperlink" Target="https://education.vnu.edu.vn/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uce.edu.vn/" TargetMode="External" Id="rId2"/><Relationship Type="http://schemas.openxmlformats.org/officeDocument/2006/relationships/hyperlink" Target="https://tuyensinh.huce.edu.vn/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au.edu.vn/" TargetMode="External" Id="rId2"/><Relationship Type="http://schemas.openxmlformats.org/officeDocument/2006/relationships/hyperlink" Target="https://tuyensinh.hau.edu.vn/" TargetMode="External" Id="rId3"/></Relationships>
</file>

<file path=xl/worksheets/_rels/sheet16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tlu.edu.vn/" TargetMode="External" Id="rId2"/><Relationship Type="http://schemas.openxmlformats.org/officeDocument/2006/relationships/hyperlink" Target="https://tuyensinh.tlu.edu.vn/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umg.edu.vn/" TargetMode="External" Id="rId2"/><Relationship Type="http://schemas.openxmlformats.org/officeDocument/2006/relationships/hyperlink" Target="https://tuyensinh.humg.edu.vn/" TargetMode="External" Id="rId3"/></Relationships>
</file>

<file path=xl/worksheets/_rels/sheet18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epu.edu.vn/" TargetMode="External" Id="rId2"/><Relationship Type="http://schemas.openxmlformats.org/officeDocument/2006/relationships/hyperlink" Target="https://tuyensinh.epu.edu.vn/" TargetMode="External" Id="rId3"/></Relationships>
</file>

<file path=xl/worksheets/_rels/sheet19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aui.edu.vn/" TargetMode="External" Id="rId2"/><Relationship Type="http://schemas.openxmlformats.org/officeDocument/2006/relationships/hyperlink" Target="https://tuyensinh.haui.edu.vn/" TargetMode="External" Id="rId3"/></Relationships>
</file>

<file path=xl/worksheets/_rels/sheet20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ptit.edu.vn/" TargetMode="External" Id="rId2"/><Relationship Type="http://schemas.openxmlformats.org/officeDocument/2006/relationships/hyperlink" Target="https://tuyensinh.ptit.edu.vn/" TargetMode="External" Id="rId3"/></Relationships>
</file>

<file path=xl/worksheets/_rels/sheet21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actvn.edu.vn/" TargetMode="External" Id="rId2"/><Relationship Type="http://schemas.openxmlformats.org/officeDocument/2006/relationships/hyperlink" Target="https://tuyensinh.actvn.edu.vn/" TargetMode="External" Id="rId3"/></Relationships>
</file>

<file path=xl/worksheets/_rels/sheet22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vtc.edu.vn/" TargetMode="External" Id="rId2"/><Relationship Type="http://schemas.openxmlformats.org/officeDocument/2006/relationships/hyperlink" Target="https://tuyensinh.hvtc.edu.vn/" TargetMode="External" Id="rId3"/></Relationships>
</file>

<file path=xl/worksheets/_rels/sheet23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vnh.edu.vn/" TargetMode="External" Id="rId2"/><Relationship Type="http://schemas.openxmlformats.org/officeDocument/2006/relationships/hyperlink" Target="https://tuyensinh.hvnh.edu.vn/" TargetMode="External" Id="rId3"/></Relationships>
</file>

<file path=xl/worksheets/_rels/sheet24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dav.edu.vn/" TargetMode="External" Id="rId2"/><Relationship Type="http://schemas.openxmlformats.org/officeDocument/2006/relationships/hyperlink" Target="https://tuyensinh.dav.edu.vn/" TargetMode="External" Id="rId3"/></Relationships>
</file>

<file path=xl/worksheets/_rels/sheet25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mu.edu.vn/" TargetMode="External" Id="rId2"/><Relationship Type="http://schemas.openxmlformats.org/officeDocument/2006/relationships/hyperlink" Target="https://hmu.edu.vn/" TargetMode="External" Id="rId3"/></Relationships>
</file>

<file path=xl/worksheets/_rels/sheet26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up.edu.vn/" TargetMode="External" Id="rId2"/><Relationship Type="http://schemas.openxmlformats.org/officeDocument/2006/relationships/hyperlink" Target="https://tuyensinh.hup.edu.vn/" TargetMode="External" Id="rId3"/></Relationships>
</file>

<file path=xl/worksheets/_rels/sheet27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uph.edu.vn/" TargetMode="External" Id="rId2"/><Relationship Type="http://schemas.openxmlformats.org/officeDocument/2006/relationships/hyperlink" Target="https://tuyensinh.huph.edu.vn/" TargetMode="External" Id="rId3"/></Relationships>
</file>

<file path=xl/worksheets/_rels/sheet28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uc.edu.vn/" TargetMode="External" Id="rId2"/><Relationship Type="http://schemas.openxmlformats.org/officeDocument/2006/relationships/hyperlink" Target="https://tuyensinh.huc.edu.vn/" TargetMode="External" Id="rId3"/></Relationships>
</file>

<file path=xl/worksheets/_rels/sheet29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ou.edu.vn/" TargetMode="External" Id="rId2"/><Relationship Type="http://schemas.openxmlformats.org/officeDocument/2006/relationships/hyperlink" Target="https://tuyensinh.hou.edu.vn/" TargetMode="External" Id="rId3"/></Relationships>
</file>

<file path=xl/worksheets/_rels/sheet30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ulsa.edu.vn/" TargetMode="External" Id="rId2"/><Relationship Type="http://schemas.openxmlformats.org/officeDocument/2006/relationships/hyperlink" Target="https://tuyensinh.ulsa.edu.vn/" TargetMode="External" Id="rId3"/></Relationships>
</file>

<file path=xl/worksheets/_rels/sheet31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utc.edu.vn/" TargetMode="External" Id="rId2"/><Relationship Type="http://schemas.openxmlformats.org/officeDocument/2006/relationships/hyperlink" Target="https://tuyensinh.utc.edu.vn/" TargetMode="External" Id="rId3"/></Relationships>
</file>

<file path=xl/worksheets/_rels/sheet32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usth.edu.vn/" TargetMode="External" Id="rId2"/><Relationship Type="http://schemas.openxmlformats.org/officeDocument/2006/relationships/hyperlink" Target="https://tuyensinh.usth.edu.vn/" TargetMode="External" Id="rId3"/></Relationships>
</file>

<file path=xl/worksheets/_rels/sheet33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phenikaa-uni.edu.vn/" TargetMode="External" Id="rId2"/><Relationship Type="http://schemas.openxmlformats.org/officeDocument/2006/relationships/hyperlink" Target="https://tuyensinh.phenikaa-uni.edu.vn/" TargetMode="External" Id="rId3"/></Relationships>
</file>

<file path=xl/worksheets/_rels/sheet34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thanglong.edu.vn/" TargetMode="External" Id="rId2"/><Relationship Type="http://schemas.openxmlformats.org/officeDocument/2006/relationships/hyperlink" Target="https://tuyensinh.thanglong.edu.vn/" TargetMode="External" Id="rId3"/></Relationships>
</file>

<file path=xl/worksheets/_rels/sheet35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cmc-u.edu.vn/" TargetMode="External" Id="rId2"/><Relationship Type="http://schemas.openxmlformats.org/officeDocument/2006/relationships/hyperlink" Target="https://tuyensinh.cmc-u.edu.vn/" TargetMode="External" Id="rId3"/></Relationships>
</file>

<file path=xl/worksheets/_rels/sheet36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dainam.edu.vn/" TargetMode="External" Id="rId2"/><Relationship Type="http://schemas.openxmlformats.org/officeDocument/2006/relationships/hyperlink" Target="https://tuyensinh.dainam.edu.vn/" TargetMode="External" Id="rId3"/></Relationships>
</file>

<file path=xl/worksheets/_rels/sheet37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ubt.edu.vn/" TargetMode="External" Id="rId2"/><Relationship Type="http://schemas.openxmlformats.org/officeDocument/2006/relationships/hyperlink" Target="https://tuyensinh.hubt.edu.vn/" TargetMode="External" Id="rId3"/></Relationships>
</file>

<file path=xl/worksheets/_rels/sheet38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viu.edu.vn/" TargetMode="External" Id="rId2"/><Relationship Type="http://schemas.openxmlformats.org/officeDocument/2006/relationships/hyperlink" Target="https://tuyensinh.viu.edu.vn/" TargetMode="External" Id="rId3"/></Relationships>
</file>

<file path=xl/worksheets/_rels/sheet39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mta.edu.vn/" TargetMode="External" Id="rId2"/><Relationship Type="http://schemas.openxmlformats.org/officeDocument/2006/relationships/hyperlink" Target="https://mta.edu.vn/" TargetMode="External" Id="rId3"/></Relationships>
</file>

<file path=xl/worksheets/_rels/sheet40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vqy.edu.vn/" TargetMode="External" Id="rId2"/><Relationship Type="http://schemas.openxmlformats.org/officeDocument/2006/relationships/hyperlink" Target="https://tuyensinh.hvqy.edu.vn/" TargetMode="External" Id="rId3"/></Relationships>
</file>

<file path=xl/worksheets/_rels/sheet41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ocvienkhoahocquan.su.edu.vn/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ocvienbienphong.edu.vn/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ocvienhaucan.edu.vn/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ocvienpkkq.edu.vn/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truongsq1.edu.vn/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truongdaccong.edu.vn/" TargetMode="External" Id="rId2"/></Relationships>
</file>

<file path=xl/worksheets/_rels/sheet47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truongphonghoa.edu.vn/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truongphaobinh.edu.vn/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vanninh.edu.vn/" TargetMode="External" Id="rId2"/><Relationship Type="http://schemas.openxmlformats.org/officeDocument/2006/relationships/hyperlink" Target="https://tuyensinh.hvanninh.edu.vn/" TargetMode="External" Id="rId3"/></Relationships>
</file>

<file path=xl/worksheets/_rels/sheet50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vcsnd.edu.vn/" TargetMode="External" Id="rId2"/><Relationship Type="http://schemas.openxmlformats.org/officeDocument/2006/relationships/hyperlink" Target="https://tuyensinh.hvcsnd.edu.vn/" TargetMode="External" Id="rId3"/></Relationships>
</file>

<file path=xl/worksheets/_rels/sheet51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ocvienchinhtricand.edu.vn/" TargetMode="External" Id="rId2"/></Relationships>
</file>

<file path=xl/worksheets/_rels/sheet52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ocvienkythuatanninh.edu.vn/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daihocpccc.edu.vn/" TargetMode="External" Id="rId2"/><Relationship Type="http://schemas.openxmlformats.org/officeDocument/2006/relationships/hyperlink" Target="https://tuyensinh.daihocpccc.edu.vn/" TargetMode="External" Id="rId3"/></Relationships>
</file>

<file path=xl/worksheets/_rels/sheet54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tueba.edu.vn/" TargetMode="External" Id="rId2"/><Relationship Type="http://schemas.openxmlformats.org/officeDocument/2006/relationships/hyperlink" Target="https://tuyensinh.tueba.edu.vn/" TargetMode="External" Id="rId3"/></Relationships>
</file>

<file path=xl/worksheets/_rels/sheet55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ictu.edu.vn/" TargetMode="External" Id="rId2"/><Relationship Type="http://schemas.openxmlformats.org/officeDocument/2006/relationships/hyperlink" Target="https://tuyensinh.ictu.edu.vn/" TargetMode="External" Id="rId3"/></Relationships>
</file>

<file path=xl/worksheets/_rels/sheet56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tnut.edu.vn/" TargetMode="External" Id="rId2"/><Relationship Type="http://schemas.openxmlformats.org/officeDocument/2006/relationships/hyperlink" Target="https://tuyensinh.tnut.edu.vn/" TargetMode="External" Id="rId3"/></Relationships>
</file>

<file path=xl/worksheets/_rels/sheet57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tuaf.edu.vn/" TargetMode="External" Id="rId2"/><Relationship Type="http://schemas.openxmlformats.org/officeDocument/2006/relationships/hyperlink" Target="https://tuyensinh.tuaf.edu.vn/" TargetMode="External" Id="rId3"/></Relationships>
</file>

<file path=xl/worksheets/_rels/sheet58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tump.edu.vn/" TargetMode="External" Id="rId2"/><Relationship Type="http://schemas.openxmlformats.org/officeDocument/2006/relationships/hyperlink" Target="https://tuyensinh.tump.edu.vn/" TargetMode="External" Id="rId3"/></Relationships>
</file>

<file path=xl/worksheets/_rels/sheet59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tnue.edu.vn/" TargetMode="External" Id="rId2"/><Relationship Type="http://schemas.openxmlformats.org/officeDocument/2006/relationships/hyperlink" Target="https://tuyensinh.tnue.edu.vn/" TargetMode="External" Id="rId3"/></Relationships>
</file>

<file path=xl/worksheets/_rels/sheet60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dhhp.edu.vn/" TargetMode="External" Id="rId2"/><Relationship Type="http://schemas.openxmlformats.org/officeDocument/2006/relationships/hyperlink" Target="https://tuyensinh.dhhp.edu.vn/" TargetMode="External" Id="rId3"/></Relationships>
</file>

<file path=xl/worksheets/_rels/sheet61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vimaru.edu.vn/" TargetMode="External" Id="rId2"/><Relationship Type="http://schemas.openxmlformats.org/officeDocument/2006/relationships/hyperlink" Target="https://tuyensinh.vimaru.edu.vn/" TargetMode="External" Id="rId3"/></Relationships>
</file>

<file path=xl/worksheets/_rels/sheet62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mt.edu.vn/" TargetMode="External" Id="rId2"/><Relationship Type="http://schemas.openxmlformats.org/officeDocument/2006/relationships/hyperlink" Target="https://tuyensinh.hmt.edu.vn/" TargetMode="External" Id="rId3"/></Relationships>
</file>

<file path=xl/worksheets/_rels/sheet63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utehy.edu.vn/" TargetMode="External" Id="rId2"/><Relationship Type="http://schemas.openxmlformats.org/officeDocument/2006/relationships/hyperlink" Target="https://tuyensinh.utehy.edu.vn/" TargetMode="External" Id="rId3"/></Relationships>
</file>

<file path=xl/worksheets/_rels/sheet64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ocvienchinhtri.edu.vn/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truongttg.edu.vn/" TargetMode="External" Id="rId2"/></Relationships>
</file>

<file path=xl/worksheets/_rels/sheet66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du.edu.vn/" TargetMode="External" Id="rId2"/><Relationship Type="http://schemas.openxmlformats.org/officeDocument/2006/relationships/hyperlink" Target="https://tuyensinh.hdu.edu.vn/" TargetMode="External" Id="rId3"/></Relationships>
</file>

<file path=xl/worksheets/_rels/sheet67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vinhuni.edu.vn/" TargetMode="External" Id="rId2"/><Relationship Type="http://schemas.openxmlformats.org/officeDocument/2006/relationships/hyperlink" Target="https://tuyensinh.vinhuni.edu.vn/" TargetMode="External" Id="rId3"/></Relationships>
</file>

<file path=xl/worksheets/_rels/sheet68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usc.edu.vn/" TargetMode="External" Id="rId2"/><Relationship Type="http://schemas.openxmlformats.org/officeDocument/2006/relationships/hyperlink" Target="https://tuyensinh.husc.edu.vn/" TargetMode="External" Id="rId3"/></Relationships>
</file>

<file path=xl/worksheets/_rels/sheet69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ce.edu.vn/" TargetMode="External" Id="rId2"/><Relationship Type="http://schemas.openxmlformats.org/officeDocument/2006/relationships/hyperlink" Target="https://tuyensinh.hce.edu.vn/" TargetMode="External" Id="rId3"/></Relationships>
</file>

<file path=xl/worksheets/_rels/sheet70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ul.edu.vn/" TargetMode="External" Id="rId2"/><Relationship Type="http://schemas.openxmlformats.org/officeDocument/2006/relationships/hyperlink" Target="https://tuyensinh.hul.edu.vn/" TargetMode="External" Id="rId3"/></Relationships>
</file>

<file path=xl/worksheets/_rels/sheet71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dhsphue.edu.vn/" TargetMode="External" Id="rId2"/><Relationship Type="http://schemas.openxmlformats.org/officeDocument/2006/relationships/hyperlink" Target="https://tuyensinh.dhsphue.edu.vn/" TargetMode="External" Id="rId3"/></Relationships>
</file>

<file path=xl/worksheets/_rels/sheet72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uemed-univ.edu.vn/" TargetMode="External" Id="rId2"/><Relationship Type="http://schemas.openxmlformats.org/officeDocument/2006/relationships/hyperlink" Target="https://tuyensinh.huemed-univ.edu.vn/" TargetMode="External" Id="rId3"/></Relationships>
</file>

<file path=xl/worksheets/_rels/sheet73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ufa.edu.vn/" TargetMode="External" Id="rId2"/><Relationship Type="http://schemas.openxmlformats.org/officeDocument/2006/relationships/hyperlink" Target="https://tuyensinh.hufa.edu.vn/" TargetMode="External" Id="rId3"/></Relationships>
</file>

<file path=xl/worksheets/_rels/sheet74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uht.edu.vn/" TargetMode="External" Id="rId2"/><Relationship Type="http://schemas.openxmlformats.org/officeDocument/2006/relationships/hyperlink" Target="https://tuyensinh.huht.edu.vn/" TargetMode="External" Id="rId3"/></Relationships>
</file>

<file path=xl/worksheets/_rels/sheet75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uaf.edu.vn/" TargetMode="External" Id="rId2"/><Relationship Type="http://schemas.openxmlformats.org/officeDocument/2006/relationships/hyperlink" Target="https://tuyensinh.huaf.edu.vn/" TargetMode="External" Id="rId3"/></Relationships>
</file>

<file path=xl/worksheets/_rels/sheet76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dut.udn.vn/" TargetMode="External" Id="rId2"/><Relationship Type="http://schemas.openxmlformats.org/officeDocument/2006/relationships/hyperlink" Target="https://tuyensinh.dut.udn.vn/" TargetMode="External" Id="rId3"/></Relationships>
</file>

<file path=xl/worksheets/_rels/sheet77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due.udn.vn/" TargetMode="External" Id="rId2"/><Relationship Type="http://schemas.openxmlformats.org/officeDocument/2006/relationships/hyperlink" Target="https://tuyensinh.due.udn.vn/" TargetMode="External" Id="rId3"/></Relationships>
</file>

<file path=xl/worksheets/_rels/sheet78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ued.udn.vn/" TargetMode="External" Id="rId2"/><Relationship Type="http://schemas.openxmlformats.org/officeDocument/2006/relationships/hyperlink" Target="https://tuyensinh.ued.udn.vn/" TargetMode="External" Id="rId3"/></Relationships>
</file>

<file path=xl/worksheets/_rels/sheet79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ump.udn.vn/" TargetMode="External" Id="rId2"/><Relationship Type="http://schemas.openxmlformats.org/officeDocument/2006/relationships/hyperlink" Target="https://tuyensinh.ump.udn.vn/" TargetMode="External" Id="rId3"/></Relationships>
</file>

<file path=xl/worksheets/_rels/sheet80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ufl.udn.vn/" TargetMode="External" Id="rId2"/><Relationship Type="http://schemas.openxmlformats.org/officeDocument/2006/relationships/hyperlink" Target="https://tuyensinh.ufl.udn.vn/" TargetMode="External" Id="rId3"/></Relationships>
</file>

<file path=xl/worksheets/_rels/sheet81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duytan.edu.vn/" TargetMode="External" Id="rId2"/><Relationship Type="http://schemas.openxmlformats.org/officeDocument/2006/relationships/hyperlink" Target="https://tuyensinh.duytan.edu.vn/" TargetMode="External" Id="rId3"/></Relationships>
</file>

<file path=xl/worksheets/_rels/sheet82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donga.edu.vn/" TargetMode="External" Id="rId2"/><Relationship Type="http://schemas.openxmlformats.org/officeDocument/2006/relationships/hyperlink" Target="https://tuyensinh.donga.edu.vn/" TargetMode="External" Id="rId3"/></Relationships>
</file>

<file path=xl/worksheets/_rels/sheet83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ntu.edu.vn/" TargetMode="External" Id="rId2"/><Relationship Type="http://schemas.openxmlformats.org/officeDocument/2006/relationships/hyperlink" Target="https://tuyensinh.ntu.edu.vn/" TargetMode="External" Id="rId3"/></Relationships>
</file>

<file path=xl/worksheets/_rels/sheet84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ocvienhaiquan.edu.vn/" TargetMode="External" Id="rId2"/></Relationships>
</file>

<file path=xl/worksheets/_rels/sheet85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truongthongtin.edu.vn/" TargetMode="External" Id="rId2"/></Relationships>
</file>

<file path=xl/worksheets/_rels/sheet86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truongkhongquan.edu.vn/" TargetMode="External" Id="rId2"/></Relationships>
</file>

<file path=xl/worksheets/_rels/sheet87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qnu.edu.vn/" TargetMode="External" Id="rId2"/><Relationship Type="http://schemas.openxmlformats.org/officeDocument/2006/relationships/hyperlink" Target="https://tuyensinh.qnu.edu.vn/" TargetMode="External" Id="rId3"/></Relationships>
</file>

<file path=xl/worksheets/_rels/sheet88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dlu.edu.vn/" TargetMode="External" Id="rId2"/><Relationship Type="http://schemas.openxmlformats.org/officeDocument/2006/relationships/hyperlink" Target="https://tuyensinh.dlu.edu.vn/" TargetMode="External" Id="rId3"/></Relationships>
</file>

<file path=xl/worksheets/_rels/sheet89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ttn.edu.vn/" TargetMode="External" Id="rId2"/><Relationship Type="http://schemas.openxmlformats.org/officeDocument/2006/relationships/hyperlink" Target="https://tuyensinh.ttn.edu.vn/" TargetMode="External" Id="rId3"/></Relationships>
</file>

<file path=xl/worksheets/_rels/sheet90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cmut.edu.vn/" TargetMode="External" Id="rId2"/><Relationship Type="http://schemas.openxmlformats.org/officeDocument/2006/relationships/hyperlink" Target="https://tuyensinh.hcmut.edu.vn/" TargetMode="External" Id="rId3"/></Relationships>
</file>

<file path=xl/worksheets/_rels/sheet91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cmus.edu.vn/" TargetMode="External" Id="rId2"/><Relationship Type="http://schemas.openxmlformats.org/officeDocument/2006/relationships/hyperlink" Target="https://tuyensinh.hcmus.edu.vn/" TargetMode="External" Id="rId3"/></Relationships>
</file>

<file path=xl/worksheets/_rels/sheet92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uit.edu.vn/" TargetMode="External" Id="rId2"/><Relationship Type="http://schemas.openxmlformats.org/officeDocument/2006/relationships/hyperlink" Target="https://tuyensinh.uit.edu.vn/" TargetMode="External" Id="rId3"/></Relationships>
</file>

<file path=xl/worksheets/_rels/sheet93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uel.edu.vn/" TargetMode="External" Id="rId2"/><Relationship Type="http://schemas.openxmlformats.org/officeDocument/2006/relationships/hyperlink" Target="https://tuyensinh.uel.edu.vn/" TargetMode="External" Id="rId3"/></Relationships>
</file>

<file path=xl/worksheets/_rels/sheet94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cmiu.edu.vn/" TargetMode="External" Id="rId2"/><Relationship Type="http://schemas.openxmlformats.org/officeDocument/2006/relationships/hyperlink" Target="https://tuyensinh.hcmiu.edu.vn/" TargetMode="External" Id="rId3"/></Relationships>
</file>

<file path=xl/worksheets/_rels/sheet95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cmussh.edu.vn/" TargetMode="External" Id="rId2"/><Relationship Type="http://schemas.openxmlformats.org/officeDocument/2006/relationships/hyperlink" Target="https://tuyensinh.hcmussh.edu.vn/" TargetMode="External" Id="rId3"/></Relationships>
</file>

<file path=xl/worksheets/_rels/sheet96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ueh.edu.vn/" TargetMode="External" Id="rId2"/><Relationship Type="http://schemas.openxmlformats.org/officeDocument/2006/relationships/hyperlink" Target="https://tuyensinh.ueh.edu.vn/" TargetMode="External" Id="rId3"/></Relationships>
</file>

<file path=xl/worksheets/_rels/sheet97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tdtu.edu.vn/" TargetMode="External" Id="rId2"/><Relationship Type="http://schemas.openxmlformats.org/officeDocument/2006/relationships/hyperlink" Target="https://tuyensinh.tdtu.edu.vn/" TargetMode="External" Id="rId3"/></Relationships>
</file>

<file path=xl/worksheets/_rels/sheet98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cmue.edu.vn/" TargetMode="External" Id="rId2"/><Relationship Type="http://schemas.openxmlformats.org/officeDocument/2006/relationships/hyperlink" Target="https://tuyensinh.hcmue.edu.vn/" TargetMode="External" Id="rId3"/></Relationships>
</file>

<file path=xl/worksheets/_rels/sheet99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cmute.edu.vn/" TargetMode="External" Id="rId2"/><Relationship Type="http://schemas.openxmlformats.org/officeDocument/2006/relationships/hyperlink" Target="https://tuyensinh.hcmute.edu.vn/" TargetMode="External" Id="rId3"/></Relationships>
</file>

<file path=xl/worksheets/_rels/sheet100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iuh.edu.vn/" TargetMode="External" Id="rId2"/><Relationship Type="http://schemas.openxmlformats.org/officeDocument/2006/relationships/hyperlink" Target="https://tuyensinh.iuh.edu.vn/" TargetMode="External" Id="rId3"/></Relationships>
</file>

<file path=xl/worksheets/_rels/sheet101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uit.edu.vn/" TargetMode="External" Id="rId2"/><Relationship Type="http://schemas.openxmlformats.org/officeDocument/2006/relationships/hyperlink" Target="https://tuyensinh.huit.edu.vn/" TargetMode="External" Id="rId3"/></Relationships>
</file>

<file path=xl/worksheets/_rels/sheet102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ut.edu.vn/" TargetMode="External" Id="rId2"/><Relationship Type="http://schemas.openxmlformats.org/officeDocument/2006/relationships/hyperlink" Target="https://tuyensinh.ut.edu.vn/" TargetMode="External" Id="rId3"/></Relationships>
</file>

<file path=xl/worksheets/_rels/sheet103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ou.edu.vn/" TargetMode="External" Id="rId2"/><Relationship Type="http://schemas.openxmlformats.org/officeDocument/2006/relationships/hyperlink" Target="https://tuyensinh.ou.edu.vn/" TargetMode="External" Id="rId3"/></Relationships>
</file>

<file path=xl/worksheets/_rels/sheet104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ufm.edu.vn/" TargetMode="External" Id="rId2"/><Relationship Type="http://schemas.openxmlformats.org/officeDocument/2006/relationships/hyperlink" Target="https://tuyensinh.ufm.edu.vn/" TargetMode="External" Id="rId3"/></Relationships>
</file>

<file path=xl/worksheets/_rels/sheet105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ub.edu.vn/" TargetMode="External" Id="rId2"/><Relationship Type="http://schemas.openxmlformats.org/officeDocument/2006/relationships/hyperlink" Target="https://tuyensinh.hub.edu.vn/" TargetMode="External" Id="rId3"/></Relationships>
</file>

<file path=xl/worksheets/_rels/sheet106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cmulaw.edu.vn/" TargetMode="External" Id="rId2"/><Relationship Type="http://schemas.openxmlformats.org/officeDocument/2006/relationships/hyperlink" Target="https://tuyensinh.hcmulaw.edu.vn/" TargetMode="External" Id="rId3"/></Relationships>
</file>

<file path=xl/worksheets/_rels/sheet107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uah.edu.vn/" TargetMode="External" Id="rId2"/><Relationship Type="http://schemas.openxmlformats.org/officeDocument/2006/relationships/hyperlink" Target="https://tuyensinh.uah.edu.vn/" TargetMode="External" Id="rId3"/></Relationships>
</file>

<file path=xl/worksheets/_rels/sheet108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ufa.edu.vn/" TargetMode="External" Id="rId2"/><Relationship Type="http://schemas.openxmlformats.org/officeDocument/2006/relationships/hyperlink" Target="https://tuyensinh.hufa.edu.vn/" TargetMode="External" Id="rId3"/></Relationships>
</file>

<file path=xl/worksheets/_rels/sheet109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cmuc.edu.vn/" TargetMode="External" Id="rId2"/><Relationship Type="http://schemas.openxmlformats.org/officeDocument/2006/relationships/hyperlink" Target="https://tuyensinh.hcmuc.edu.vn/" TargetMode="External" Id="rId3"/></Relationships>
</file>

<file path=xl/worksheets/_rels/sheet110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ump.edu.vn/" TargetMode="External" Id="rId2"/><Relationship Type="http://schemas.openxmlformats.org/officeDocument/2006/relationships/hyperlink" Target="https://tuyensinh.ump.edu.vn/" TargetMode="External" Id="rId3"/></Relationships>
</file>

<file path=xl/worksheets/_rels/sheet111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pnt.edu.vn/" TargetMode="External" Id="rId2"/><Relationship Type="http://schemas.openxmlformats.org/officeDocument/2006/relationships/hyperlink" Target="https://tuyensinh.pnt.edu.vn/" TargetMode="External" Id="rId3"/></Relationships>
</file>

<file path=xl/worksheets/_rels/sheet112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cmuaf.edu.vn/" TargetMode="External" Id="rId2"/><Relationship Type="http://schemas.openxmlformats.org/officeDocument/2006/relationships/hyperlink" Target="https://tuyensinh.hcmuaf.edu.vn/" TargetMode="External" Id="rId3"/></Relationships>
</file>

<file path=xl/worksheets/_rels/sheet113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cmunre.edu.vn/" TargetMode="External" Id="rId2"/><Relationship Type="http://schemas.openxmlformats.org/officeDocument/2006/relationships/hyperlink" Target="https://tuyensinh.hcmunre.edu.vn/" TargetMode="External" Id="rId3"/></Relationships>
</file>

<file path=xl/worksheets/_rels/sheet114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utech.edu.vn/" TargetMode="External" Id="rId2"/><Relationship Type="http://schemas.openxmlformats.org/officeDocument/2006/relationships/hyperlink" Target="https://tuyensinh.hutech.edu.vn/" TargetMode="External" Id="rId3"/></Relationships>
</file>

<file path=xl/worksheets/_rels/sheet115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uef.edu.vn/" TargetMode="External" Id="rId2"/><Relationship Type="http://schemas.openxmlformats.org/officeDocument/2006/relationships/hyperlink" Target="https://tuyensinh.uef.edu.vn/" TargetMode="External" Id="rId3"/></Relationships>
</file>

<file path=xl/worksheets/_rels/sheet116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hoasen.edu.vn/" TargetMode="External" Id="rId2"/><Relationship Type="http://schemas.openxmlformats.org/officeDocument/2006/relationships/hyperlink" Target="https://tuyensinh.hoasen.edu.vn/" TargetMode="External" Id="rId3"/></Relationships>
</file>

<file path=xl/worksheets/_rels/sheet117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ntt.edu.vn/" TargetMode="External" Id="rId2"/><Relationship Type="http://schemas.openxmlformats.org/officeDocument/2006/relationships/hyperlink" Target="https://tuyensinh.ntt.edu.vn/" TargetMode="External" Id="rId3"/></Relationships>
</file>

<file path=xl/worksheets/_rels/sheet118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vanlanguni.edu.vn/" TargetMode="External" Id="rId2"/><Relationship Type="http://schemas.openxmlformats.org/officeDocument/2006/relationships/hyperlink" Target="https://tuyensinh.vanlanguni.edu.vn/" TargetMode="External" Id="rId3"/></Relationships>
</file>

<file path=xl/worksheets/_rels/sheet119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vgu.edu.vn/" TargetMode="External" Id="rId2"/><Relationship Type="http://schemas.openxmlformats.org/officeDocument/2006/relationships/hyperlink" Target="https://tuyensinh.vgu.edu.vn/" TargetMode="External" Id="rId3"/></Relationships>
</file>

<file path=xl/worksheets/_rels/sheet120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tdmu.edu.vn/" TargetMode="External" Id="rId2"/><Relationship Type="http://schemas.openxmlformats.org/officeDocument/2006/relationships/hyperlink" Target="https://tuyensinh.tdmu.edu.vn/" TargetMode="External" Id="rId3"/></Relationships>
</file>

<file path=xl/worksheets/_rels/sheet121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truongcongbinh.edu.vn/" TargetMode="External" Id="rId2"/></Relationships>
</file>

<file path=xl/worksheets/_rels/sheet122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dhanninh.edu.vn/" TargetMode="External" Id="rId2"/><Relationship Type="http://schemas.openxmlformats.org/officeDocument/2006/relationships/hyperlink" Target="https://tuyensinh.dhanninh.edu.vn/" TargetMode="External" Id="rId3"/></Relationships>
</file>

<file path=xl/worksheets/_rels/sheet123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dhcsnd.edu.vn/" TargetMode="External" Id="rId2"/><Relationship Type="http://schemas.openxmlformats.org/officeDocument/2006/relationships/hyperlink" Target="https://tuyensinh.dhcsnd.edu.vn/" TargetMode="External" Id="rId3"/></Relationships>
</file>

<file path=xl/worksheets/_rels/sheet124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lhu.edu.vn/" TargetMode="External" Id="rId2"/><Relationship Type="http://schemas.openxmlformats.org/officeDocument/2006/relationships/hyperlink" Target="https://tuyensinh.lhu.edu.vn/" TargetMode="External" Id="rId3"/></Relationships>
</file>

<file path=xl/worksheets/_rels/sheet125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daihocnguyenHue.edu.vn/" TargetMode="External" Id="rId2"/></Relationships>
</file>

<file path=xl/worksheets/_rels/sheet126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ctu.edu.vn/" TargetMode="External" Id="rId2"/><Relationship Type="http://schemas.openxmlformats.org/officeDocument/2006/relationships/hyperlink" Target="https://tuyensinh.ctu.edu.vn/" TargetMode="External" Id="rId3"/></Relationships>
</file>

<file path=xl/worksheets/_rels/sheet127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trandainghia.edu.vn/" TargetMode="External" Id="rId2"/></Relationships>
</file>

<file path=xl/worksheets/_rels/sheet128.xml.rels><Relationships xmlns="http://schemas.openxmlformats.org/package/2006/relationships"><Relationship Type="http://schemas.openxmlformats.org/officeDocument/2006/relationships/hyperlink" Target="126_truong_Mien_Tinh_Truong_Nganh.xlsx" TargetMode="External" Id="rId1"/><Relationship Type="http://schemas.openxmlformats.org/officeDocument/2006/relationships/hyperlink" Target="https://ais.edu.vn/" TargetMode="External" Id="rId2"/><Relationship Type="http://schemas.openxmlformats.org/officeDocument/2006/relationships/hyperlink" Target="https://tuyensinh.ais.edu.vn/" TargetMode="External" Id="rId3"/></Relationships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I1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2"/>
  <cols>
    <col width="58" customWidth="1" style="34" min="1" max="1"/>
    <col width="10" customWidth="1" style="34" min="2" max="2"/>
    <col width="16" customWidth="1" style="34" min="3" max="3"/>
    <col width="13" customWidth="1" style="34" min="4" max="4"/>
    <col width="10" customWidth="1" style="34" min="5" max="5"/>
    <col width="18" customWidth="1" style="34" min="6" max="6"/>
    <col width="34" customWidth="1" style="34" min="7" max="7"/>
    <col width="44" customWidth="1" style="34" min="8" max="8"/>
    <col width="46" customWidth="1" style="34" min="9" max="9"/>
  </cols>
  <sheetData>
    <row r="1" ht="17.35" customHeight="1" s="35">
      <c r="A1" s="36" t="inlineStr">
        <is>
          <t>TỔNG HỢP 126 TRƯỜNG ĐẠI HỌC / HỌC VIỆN - MIỀN → TỈNH/TP → TRƯỜNG</t>
        </is>
      </c>
    </row>
    <row r="2" ht="43.5" customHeight="1" s="35">
      <c r="A2" s="37" t="inlineStr">
        <is>
          <t>Bấm tên trường để mở sheet ngành đào tạo; dùng nút [+]/[-] bên trái để mở/thu gọn. Tỉnh/TP: cột A theo 34 tỉnh/TP mới (từ 1/7/2025), cột C là tên cũ (63 tỉnh/TP). Miền Trung gồm cả Tây Nguyên. Nguồn danh sách trường và link: file 126_truong_TrangChu_va_TrangTuyenSinh.docx.</t>
        </is>
      </c>
    </row>
    <row r="4" ht="15" customHeight="1" s="35">
      <c r="A4" s="38" t="inlineStr">
        <is>
          <t>Miền / Tỉnh-TP / Trường</t>
        </is>
      </c>
      <c r="B4" s="38" t="inlineStr">
        <is>
          <t>Số trường</t>
        </is>
      </c>
      <c r="C4" s="38" t="inlineStr">
        <is>
          <t>Tỉnh/TP (cũ)</t>
        </is>
      </c>
      <c r="D4" s="38" t="inlineStr">
        <is>
          <t>Viết tắt</t>
        </is>
      </c>
      <c r="E4" s="38" t="inlineStr">
        <is>
          <t>Số ngành</t>
        </is>
      </c>
      <c r="F4" s="38" t="inlineStr">
        <is>
          <t>Trạng thái dữ liệu</t>
        </is>
      </c>
      <c r="G4" s="38" t="inlineStr">
        <is>
          <t>Trang chủ</t>
        </is>
      </c>
      <c r="H4" s="38" t="inlineStr">
        <is>
          <t>Trang tuyển sinh</t>
        </is>
      </c>
      <c r="I4" s="38" t="inlineStr">
        <is>
          <t>Ghi chú</t>
        </is>
      </c>
    </row>
    <row r="5" ht="15" customHeight="1" s="35">
      <c r="A5" s="39" t="inlineStr">
        <is>
          <t>MIỀN BẮC</t>
        </is>
      </c>
      <c r="B5" s="40">
        <f>B6+B58+B65+B69+B71+B73</f>
        <v/>
      </c>
      <c r="C5" s="41" t="n"/>
      <c r="D5" s="41" t="n"/>
      <c r="E5" s="41" t="n"/>
      <c r="F5" s="41" t="n"/>
      <c r="G5" s="41" t="n"/>
      <c r="H5" s="41" t="n"/>
      <c r="I5" s="41" t="n"/>
    </row>
    <row r="6" outlineLevel="1" ht="15" customHeight="1" s="35">
      <c r="A6" s="42" t="inlineStr">
        <is>
          <t>Hà Nội</t>
        </is>
      </c>
      <c r="B6" s="43">
        <f>COUNTA(A7:A57)</f>
        <v/>
      </c>
      <c r="C6" s="44" t="n"/>
      <c r="D6" s="44" t="n"/>
      <c r="E6" s="44" t="n"/>
      <c r="F6" s="44" t="n"/>
      <c r="G6" s="44" t="n"/>
      <c r="H6" s="44" t="n"/>
      <c r="I6" s="44" t="n"/>
    </row>
    <row r="7" outlineLevel="2" ht="15" customHeight="1" s="35">
      <c r="A7" s="45" t="inlineStr">
        <is>
          <t>Đại học Bách khoa Hà Nội (HUST)</t>
        </is>
      </c>
      <c r="B7" s="46" t="n"/>
      <c r="C7" s="47" t="inlineStr">
        <is>
          <t>Hà Nội</t>
        </is>
      </c>
      <c r="D7" s="47" t="inlineStr">
        <is>
          <t>HUST</t>
        </is>
      </c>
      <c r="E7" s="48">
        <f>COUNTA(HUST!$B$11:$B$500)</f>
        <v/>
      </c>
      <c r="F7" s="48">
        <f>IF(E7&gt;0,"Đã có dữ liệu","Chưa có dữ liệu")</f>
        <v/>
      </c>
      <c r="G7" s="49" t="inlineStr">
        <is>
          <t>https://hust.edu.vn/</t>
        </is>
      </c>
      <c r="H7" s="49" t="inlineStr">
        <is>
          <t>https://ts.hust.edu.vn/</t>
        </is>
      </c>
      <c r="I7" s="50" t="n"/>
    </row>
    <row r="8" outlineLevel="2" ht="15" customHeight="1" s="35">
      <c r="A8" s="45" t="inlineStr">
        <is>
          <t>Đại học Kinh tế Quốc dân (NEU)</t>
        </is>
      </c>
      <c r="B8" s="46" t="n"/>
      <c r="C8" s="47" t="inlineStr">
        <is>
          <t>Hà Nội</t>
        </is>
      </c>
      <c r="D8" s="47" t="inlineStr">
        <is>
          <t>NEU</t>
        </is>
      </c>
      <c r="E8" s="48">
        <f>COUNTA(NEU!$B$11:$B$500)</f>
        <v/>
      </c>
      <c r="F8" s="48">
        <f>IF(E8&gt;0,"Đã có dữ liệu","Chưa có dữ liệu")</f>
        <v/>
      </c>
      <c r="G8" s="49" t="inlineStr">
        <is>
          <t>https://neu.edu.vn/</t>
        </is>
      </c>
      <c r="H8" s="49" t="inlineStr">
        <is>
          <t>https://daotao.neu.edu.vn/ hoặc https://xtkh.neu.edu.vn</t>
        </is>
      </c>
      <c r="I8" s="50" t="n"/>
    </row>
    <row r="9" outlineLevel="2" ht="15" customHeight="1" s="35">
      <c r="A9" s="45" t="inlineStr">
        <is>
          <t>Đại học Ngoại thương (FTU)</t>
        </is>
      </c>
      <c r="B9" s="46" t="n"/>
      <c r="C9" s="47" t="inlineStr">
        <is>
          <t>Hà Nội</t>
        </is>
      </c>
      <c r="D9" s="47" t="inlineStr">
        <is>
          <t>FTU</t>
        </is>
      </c>
      <c r="E9" s="48">
        <f>COUNTA(FTU!$B$11:$B$500)</f>
        <v/>
      </c>
      <c r="F9" s="48">
        <f>IF(E9&gt;0,"Đã có dữ liệu","Chưa có dữ liệu")</f>
        <v/>
      </c>
      <c r="G9" s="49" t="inlineStr">
        <is>
          <t>https://ftu.edu.vn/</t>
        </is>
      </c>
      <c r="H9" s="49" t="inlineStr">
        <is>
          <t>https://tuyensinh.ftu.edu.vn/ hoặc https://thongtintuyensinh.ftu.edu.vn/</t>
        </is>
      </c>
      <c r="I9" s="50" t="n"/>
    </row>
    <row r="10" outlineLevel="2" ht="15" customHeight="1" s="35">
      <c r="A10" s="45" t="inlineStr">
        <is>
          <t>Đại học Thương mại (TMU)</t>
        </is>
      </c>
      <c r="B10" s="46" t="n"/>
      <c r="C10" s="47" t="inlineStr">
        <is>
          <t>Hà Nội</t>
        </is>
      </c>
      <c r="D10" s="47" t="inlineStr">
        <is>
          <t>TMU</t>
        </is>
      </c>
      <c r="E10" s="48">
        <f>COUNTA(TMU!$B$11:$B$500)</f>
        <v/>
      </c>
      <c r="F10" s="48">
        <f>IF(E10&gt;0,"Đã có dữ liệu","Chưa có dữ liệu")</f>
        <v/>
      </c>
      <c r="G10" s="49" t="inlineStr">
        <is>
          <t>https://tmu.edu.vn/</t>
        </is>
      </c>
      <c r="H10" s="49" t="inlineStr">
        <is>
          <t>https://tuyensinh.tmu.edu.vn/</t>
        </is>
      </c>
      <c r="I10" s="50" t="n"/>
    </row>
    <row r="11" outlineLevel="2" ht="15" customHeight="1" s="35">
      <c r="A11" s="45" t="inlineStr">
        <is>
          <t>Trường Đại học Luật Hà Nội (HLU)</t>
        </is>
      </c>
      <c r="B11" s="46" t="n"/>
      <c r="C11" s="47" t="inlineStr">
        <is>
          <t>Hà Nội</t>
        </is>
      </c>
      <c r="D11" s="47" t="inlineStr">
        <is>
          <t>HLU</t>
        </is>
      </c>
      <c r="E11" s="48">
        <f>COUNTA(HLU!$B$11:$B$500)</f>
        <v/>
      </c>
      <c r="F11" s="48">
        <f>IF(E11&gt;0,"Đã có dữ liệu","Chưa có dữ liệu")</f>
        <v/>
      </c>
      <c r="G11" s="49" t="inlineStr">
        <is>
          <t>https://hlu.edu.vn/</t>
        </is>
      </c>
      <c r="H11" s="49" t="inlineStr">
        <is>
          <t>https://tuyensinh.hlu.edu.vn/</t>
        </is>
      </c>
      <c r="I11" s="50" t="n"/>
    </row>
    <row r="12" outlineLevel="2" ht="15" customHeight="1" s="35">
      <c r="A12" s="45" t="inlineStr">
        <is>
          <t>Trường Đại học Khoa học Tự nhiên - ĐHQG Hà Nội (VNU-HUS)</t>
        </is>
      </c>
      <c r="B12" s="46" t="n"/>
      <c r="C12" s="47" t="inlineStr">
        <is>
          <t>Hà Nội</t>
        </is>
      </c>
      <c r="D12" s="47" t="inlineStr">
        <is>
          <t>VNU-HUS</t>
        </is>
      </c>
      <c r="E12" s="48">
        <f>COUNTA('VNU-HUS'!$B$11:$B$500)</f>
        <v/>
      </c>
      <c r="F12" s="48">
        <f>IF(E12&gt;0,"Đã có dữ liệu","Chưa có dữ liệu")</f>
        <v/>
      </c>
      <c r="G12" s="49" t="inlineStr">
        <is>
          <t>https://hus.vnu.edu.vn/</t>
        </is>
      </c>
      <c r="H12" s="49" t="inlineStr">
        <is>
          <t>https://tuyensinh.hus.vnu.edu.vn/</t>
        </is>
      </c>
      <c r="I12" s="50" t="n"/>
    </row>
    <row r="13" outlineLevel="2" ht="15" customHeight="1" s="35">
      <c r="A13" s="45" t="inlineStr">
        <is>
          <t>Trường Đại học Công nghệ - ĐHQG Hà Nội (VNU-UET)</t>
        </is>
      </c>
      <c r="B13" s="46" t="n"/>
      <c r="C13" s="47" t="inlineStr">
        <is>
          <t>Hà Nội</t>
        </is>
      </c>
      <c r="D13" s="47" t="inlineStr">
        <is>
          <t>VNU-UET</t>
        </is>
      </c>
      <c r="E13" s="48">
        <f>COUNTA('VNU-UET'!$B$11:$B$500)</f>
        <v/>
      </c>
      <c r="F13" s="48">
        <f>IF(E13&gt;0,"Đã có dữ liệu","Chưa có dữ liệu")</f>
        <v/>
      </c>
      <c r="G13" s="49" t="inlineStr">
        <is>
          <t>https://uet.vnu.edu.vn/</t>
        </is>
      </c>
      <c r="H13" s="49" t="inlineStr">
        <is>
          <t>https://tuyensinh.uet.vnu.edu.vn/</t>
        </is>
      </c>
      <c r="I13" s="50" t="n"/>
    </row>
    <row r="14" outlineLevel="2" ht="15" customHeight="1" s="35">
      <c r="A14" s="45" t="inlineStr">
        <is>
          <t>Trường Đại học Kinh tế - ĐHQG Hà Nội (VNU-UEB)</t>
        </is>
      </c>
      <c r="B14" s="46" t="n"/>
      <c r="C14" s="47" t="inlineStr">
        <is>
          <t>Hà Nội</t>
        </is>
      </c>
      <c r="D14" s="47" t="inlineStr">
        <is>
          <t>VNU-UEB</t>
        </is>
      </c>
      <c r="E14" s="48">
        <f>COUNTA('VNU-UEB'!$B$11:$B$500)</f>
        <v/>
      </c>
      <c r="F14" s="48">
        <f>IF(E14&gt;0,"Đã có dữ liệu","Chưa có dữ liệu")</f>
        <v/>
      </c>
      <c r="G14" s="49" t="inlineStr">
        <is>
          <t>https://ueb.vnu.edu.vn/</t>
        </is>
      </c>
      <c r="H14" s="49" t="inlineStr">
        <is>
          <t>https://tuyensinh.ueb.edu.vn/</t>
        </is>
      </c>
      <c r="I14" s="50" t="n"/>
    </row>
    <row r="15" outlineLevel="2" ht="15" customHeight="1" s="35">
      <c r="A15" s="45" t="inlineStr">
        <is>
          <t>Trường Đại học Khoa học Xã hội và Nhân văn - ĐHQG Hà Nội (VNU-USSH)</t>
        </is>
      </c>
      <c r="B15" s="46" t="n"/>
      <c r="C15" s="47" t="inlineStr">
        <is>
          <t>Hà Nội</t>
        </is>
      </c>
      <c r="D15" s="47" t="inlineStr">
        <is>
          <t>VNU-USSH</t>
        </is>
      </c>
      <c r="E15" s="48">
        <f>COUNTA('VNU-USSH'!$B$11:$B$500)</f>
        <v/>
      </c>
      <c r="F15" s="48">
        <f>IF(E15&gt;0,"Đã có dữ liệu","Chưa có dữ liệu")</f>
        <v/>
      </c>
      <c r="G15" s="49" t="inlineStr">
        <is>
          <t>https://ussh.vnu.edu.vn/</t>
        </is>
      </c>
      <c r="H15" s="49" t="inlineStr">
        <is>
          <t>https://tuyensinh.ussh.edu.vn/</t>
        </is>
      </c>
      <c r="I15" s="50" t="n"/>
    </row>
    <row r="16" outlineLevel="2" ht="15" customHeight="1" s="35">
      <c r="A16" s="45" t="inlineStr">
        <is>
          <t>Trường Đại học Ngoại ngữ - ĐHQG Hà Nội (VNU-ULIS)</t>
        </is>
      </c>
      <c r="B16" s="46" t="n"/>
      <c r="C16" s="47" t="inlineStr">
        <is>
          <t>Hà Nội</t>
        </is>
      </c>
      <c r="D16" s="47" t="inlineStr">
        <is>
          <t>VNU-ULIS</t>
        </is>
      </c>
      <c r="E16" s="48">
        <f>COUNTA('VNU-ULIS'!$B$11:$B$500)</f>
        <v/>
      </c>
      <c r="F16" s="48">
        <f>IF(E16&gt;0,"Đã có dữ liệu","Chưa có dữ liệu")</f>
        <v/>
      </c>
      <c r="G16" s="49" t="inlineStr">
        <is>
          <t>https://ulis.vnu.edu.vn/</t>
        </is>
      </c>
      <c r="H16" s="49" t="inlineStr">
        <is>
          <t>https://tuyensinh.ulis.vnu.edu.vn/</t>
        </is>
      </c>
      <c r="I16" s="50" t="n"/>
    </row>
    <row r="17" outlineLevel="2" ht="15" customHeight="1" s="35">
      <c r="A17" s="45" t="inlineStr">
        <is>
          <t>Trường Đại học Giáo dục - ĐHQG Hà Nội (VNU-UED)</t>
        </is>
      </c>
      <c r="B17" s="46" t="n"/>
      <c r="C17" s="47" t="inlineStr">
        <is>
          <t>Hà Nội</t>
        </is>
      </c>
      <c r="D17" s="47" t="inlineStr">
        <is>
          <t>VNU-UED</t>
        </is>
      </c>
      <c r="E17" s="48">
        <f>COUNTA('VNU-UED'!$B$11:$B$500)</f>
        <v/>
      </c>
      <c r="F17" s="48">
        <f>IF(E17&gt;0,"Đã có dữ liệu","Chưa có dữ liệu")</f>
        <v/>
      </c>
      <c r="G17" s="49" t="inlineStr">
        <is>
          <t>https://education.vnu.edu.vn/</t>
        </is>
      </c>
      <c r="H17" s="49" t="inlineStr">
        <is>
          <t>https://education.vnu.edu.vn/</t>
        </is>
      </c>
      <c r="I17" s="50" t="n"/>
    </row>
    <row r="18" outlineLevel="2" ht="15" customHeight="1" s="35">
      <c r="A18" s="45" t="inlineStr">
        <is>
          <t>Đại học Xây dựng Hà Nội (HUCE)</t>
        </is>
      </c>
      <c r="B18" s="46" t="n"/>
      <c r="C18" s="47" t="inlineStr">
        <is>
          <t>Hà Nội</t>
        </is>
      </c>
      <c r="D18" s="47" t="inlineStr">
        <is>
          <t>HUCE</t>
        </is>
      </c>
      <c r="E18" s="48">
        <f>COUNTA(HUCE!$B$11:$B$500)</f>
        <v/>
      </c>
      <c r="F18" s="48">
        <f>IF(E18&gt;0,"Đã có dữ liệu","Chưa có dữ liệu")</f>
        <v/>
      </c>
      <c r="G18" s="49" t="inlineStr">
        <is>
          <t>https://huce.edu.vn/</t>
        </is>
      </c>
      <c r="H18" s="49" t="inlineStr">
        <is>
          <t>https://tuyensinh.huce.edu.vn/</t>
        </is>
      </c>
      <c r="I18" s="50" t="n"/>
    </row>
    <row r="19" outlineLevel="2" ht="15" customHeight="1" s="35">
      <c r="A19" s="45" t="inlineStr">
        <is>
          <t>Trường Đại học Kiến trúc Hà Nội (HAU)</t>
        </is>
      </c>
      <c r="B19" s="46" t="n"/>
      <c r="C19" s="47" t="inlineStr">
        <is>
          <t>Hà Nội</t>
        </is>
      </c>
      <c r="D19" s="47" t="inlineStr">
        <is>
          <t>HAU</t>
        </is>
      </c>
      <c r="E19" s="48">
        <f>COUNTA(HAU!$B$11:$B$500)</f>
        <v/>
      </c>
      <c r="F19" s="48">
        <f>IF(E19&gt;0,"Đã có dữ liệu","Chưa có dữ liệu")</f>
        <v/>
      </c>
      <c r="G19" s="49" t="inlineStr">
        <is>
          <t>https://hau.edu.vn/</t>
        </is>
      </c>
      <c r="H19" s="49" t="inlineStr">
        <is>
          <t>https://tuyensinh.hau.edu.vn/</t>
        </is>
      </c>
      <c r="I19" s="50" t="n"/>
    </row>
    <row r="20" outlineLevel="2" ht="15" customHeight="1" s="35">
      <c r="A20" s="45" t="inlineStr">
        <is>
          <t>Trường Đại học Thủy lợi (TLU)</t>
        </is>
      </c>
      <c r="B20" s="46" t="n"/>
      <c r="C20" s="47" t="inlineStr">
        <is>
          <t>Hà Nội</t>
        </is>
      </c>
      <c r="D20" s="47" t="inlineStr">
        <is>
          <t>TLU</t>
        </is>
      </c>
      <c r="E20" s="48">
        <f>COUNTA(TLU!$B$11:$B$500)</f>
        <v/>
      </c>
      <c r="F20" s="48">
        <f>IF(E20&gt;0,"Đã có dữ liệu","Chưa có dữ liệu")</f>
        <v/>
      </c>
      <c r="G20" s="49" t="inlineStr">
        <is>
          <t>https://tlu.edu.vn/</t>
        </is>
      </c>
      <c r="H20" s="49" t="inlineStr">
        <is>
          <t>https://tuyensinh.tlu.edu.vn/</t>
        </is>
      </c>
      <c r="I20" s="50" t="n"/>
    </row>
    <row r="21" outlineLevel="2" ht="15" customHeight="1" s="35">
      <c r="A21" s="45" t="inlineStr">
        <is>
          <t>Trường Đại học Mỏ - Địa chất (HUMG)</t>
        </is>
      </c>
      <c r="B21" s="46" t="n"/>
      <c r="C21" s="47" t="inlineStr">
        <is>
          <t>Hà Nội</t>
        </is>
      </c>
      <c r="D21" s="47" t="inlineStr">
        <is>
          <t>HUMG</t>
        </is>
      </c>
      <c r="E21" s="48">
        <f>COUNTA(HUMG!$B$11:$B$500)</f>
        <v/>
      </c>
      <c r="F21" s="48">
        <f>IF(E21&gt;0,"Đã có dữ liệu","Chưa có dữ liệu")</f>
        <v/>
      </c>
      <c r="G21" s="49" t="inlineStr">
        <is>
          <t>https://humg.edu.vn/</t>
        </is>
      </c>
      <c r="H21" s="49" t="inlineStr">
        <is>
          <t>https://tuyensinh.humg.edu.vn/</t>
        </is>
      </c>
      <c r="I21" s="50" t="n"/>
    </row>
    <row r="22" outlineLevel="2" ht="15" customHeight="1" s="35">
      <c r="A22" s="45" t="inlineStr">
        <is>
          <t>Đại học Điện lực (EPU)</t>
        </is>
      </c>
      <c r="B22" s="46" t="n"/>
      <c r="C22" s="47" t="inlineStr">
        <is>
          <t>Hà Nội</t>
        </is>
      </c>
      <c r="D22" s="47" t="inlineStr">
        <is>
          <t>EPU</t>
        </is>
      </c>
      <c r="E22" s="48">
        <f>COUNTA(EPU!$B$11:$B$500)</f>
        <v/>
      </c>
      <c r="F22" s="48">
        <f>IF(E22&gt;0,"Đã có dữ liệu","Chưa có dữ liệu")</f>
        <v/>
      </c>
      <c r="G22" s="49" t="inlineStr">
        <is>
          <t>https://epu.edu.vn/</t>
        </is>
      </c>
      <c r="H22" s="49" t="inlineStr">
        <is>
          <t>https://tuyensinh.epu.edu.vn/</t>
        </is>
      </c>
      <c r="I22" s="50" t="n"/>
    </row>
    <row r="23" outlineLevel="2" ht="15" customHeight="1" s="35">
      <c r="A23" s="45" t="inlineStr">
        <is>
          <t>Trường Đại học Công nghiệp Hà Nội (HaUI)</t>
        </is>
      </c>
      <c r="B23" s="46" t="n"/>
      <c r="C23" s="47" t="inlineStr">
        <is>
          <t>Hà Nội</t>
        </is>
      </c>
      <c r="D23" s="47" t="inlineStr">
        <is>
          <t>HaUI</t>
        </is>
      </c>
      <c r="E23" s="48">
        <f>COUNTA(HaUI!$B$11:$B$500)</f>
        <v/>
      </c>
      <c r="F23" s="48">
        <f>IF(E23&gt;0,"Đã có dữ liệu","Chưa có dữ liệu")</f>
        <v/>
      </c>
      <c r="G23" s="49" t="inlineStr">
        <is>
          <t>https://haui.edu.vn/</t>
        </is>
      </c>
      <c r="H23" s="49" t="inlineStr">
        <is>
          <t>https://tuyensinh.haui.edu.vn/</t>
        </is>
      </c>
      <c r="I23" s="50" t="n"/>
    </row>
    <row r="24" outlineLevel="2" ht="15" customHeight="1" s="35">
      <c r="A24" s="45" t="inlineStr">
        <is>
          <t>Học viện Công nghệ Bưu chính Viễn thông (PTIT)</t>
        </is>
      </c>
      <c r="B24" s="46" t="n"/>
      <c r="C24" s="47" t="inlineStr">
        <is>
          <t>Hà Nội</t>
        </is>
      </c>
      <c r="D24" s="47" t="inlineStr">
        <is>
          <t>PTIT</t>
        </is>
      </c>
      <c r="E24" s="48">
        <f>COUNTA(PTIT!$B$11:$B$500)</f>
        <v/>
      </c>
      <c r="F24" s="48">
        <f>IF(E24&gt;0,"Đã có dữ liệu","Chưa có dữ liệu")</f>
        <v/>
      </c>
      <c r="G24" s="49" t="inlineStr">
        <is>
          <t>https://ptit.edu.vn/</t>
        </is>
      </c>
      <c r="H24" s="49" t="inlineStr">
        <is>
          <t>https://tuyensinh.ptit.edu.vn/</t>
        </is>
      </c>
      <c r="I24" s="50" t="n"/>
    </row>
    <row r="25" outlineLevel="2" ht="15" customHeight="1" s="35">
      <c r="A25" s="45" t="inlineStr">
        <is>
          <t>Học viện Kỹ thuật Mật mã (KMA)</t>
        </is>
      </c>
      <c r="B25" s="46" t="n"/>
      <c r="C25" s="47" t="inlineStr">
        <is>
          <t>Hà Nội</t>
        </is>
      </c>
      <c r="D25" s="47" t="inlineStr">
        <is>
          <t>KMA</t>
        </is>
      </c>
      <c r="E25" s="48">
        <f>COUNTA(KMA!$B$11:$B$500)</f>
        <v/>
      </c>
      <c r="F25" s="48">
        <f>IF(E25&gt;0,"Đã có dữ liệu","Chưa có dữ liệu")</f>
        <v/>
      </c>
      <c r="G25" s="49" t="inlineStr">
        <is>
          <t>https://actvn.edu.vn/</t>
        </is>
      </c>
      <c r="H25" s="49" t="inlineStr">
        <is>
          <t>https://tuyensinh.actvn.edu.vn/</t>
        </is>
      </c>
      <c r="I25" s="50" t="n"/>
    </row>
    <row r="26" outlineLevel="2" ht="15" customHeight="1" s="35">
      <c r="A26" s="45" t="inlineStr">
        <is>
          <t>Học viện Tài chính (AOF)</t>
        </is>
      </c>
      <c r="B26" s="46" t="n"/>
      <c r="C26" s="47" t="inlineStr">
        <is>
          <t>Hà Nội</t>
        </is>
      </c>
      <c r="D26" s="47" t="inlineStr">
        <is>
          <t>AOF</t>
        </is>
      </c>
      <c r="E26" s="48">
        <f>COUNTA('HV Tài chính (AOF)'!$B$11:$B$500)</f>
        <v/>
      </c>
      <c r="F26" s="48">
        <f>IF(E26&gt;0,"Đã có dữ liệu","Chưa có dữ liệu")</f>
        <v/>
      </c>
      <c r="G26" s="49" t="inlineStr">
        <is>
          <t>https://hvtc.edu.vn/</t>
        </is>
      </c>
      <c r="H26" s="49" t="inlineStr">
        <is>
          <t>https://tuyensinh.hvtc.edu.vn/</t>
        </is>
      </c>
      <c r="I26" s="50" t="n"/>
    </row>
    <row r="27" outlineLevel="2" ht="15" customHeight="1" s="35">
      <c r="A27" s="45" t="inlineStr">
        <is>
          <t>Học viện Ngân hàng (BA)</t>
        </is>
      </c>
      <c r="B27" s="46" t="n"/>
      <c r="C27" s="47" t="inlineStr">
        <is>
          <t>Hà Nội</t>
        </is>
      </c>
      <c r="D27" s="47" t="inlineStr">
        <is>
          <t>BA</t>
        </is>
      </c>
      <c r="E27" s="48">
        <f>COUNTA('HV Ngân hàng (BA)'!$B$11:$B$500)</f>
        <v/>
      </c>
      <c r="F27" s="48">
        <f>IF(E27&gt;0,"Đã có dữ liệu","Chưa có dữ liệu")</f>
        <v/>
      </c>
      <c r="G27" s="49" t="inlineStr">
        <is>
          <t>https://hvnh.edu.vn/</t>
        </is>
      </c>
      <c r="H27" s="49" t="inlineStr">
        <is>
          <t>https://tuyensinh.hvnh.edu.vn/</t>
        </is>
      </c>
      <c r="I27" s="50" t="n"/>
    </row>
    <row r="28" outlineLevel="2" ht="15" customHeight="1" s="35">
      <c r="A28" s="45" t="inlineStr">
        <is>
          <t>Học viện Ngoại giao (DAV)</t>
        </is>
      </c>
      <c r="B28" s="46" t="n"/>
      <c r="C28" s="47" t="inlineStr">
        <is>
          <t>Hà Nội</t>
        </is>
      </c>
      <c r="D28" s="47" t="inlineStr">
        <is>
          <t>DAV</t>
        </is>
      </c>
      <c r="E28" s="48">
        <f>COUNTA('HV Ngoại giao (DAV)'!$B$11:$B$500)</f>
        <v/>
      </c>
      <c r="F28" s="48">
        <f>IF(E28&gt;0,"Đã có dữ liệu","Chưa có dữ liệu")</f>
        <v/>
      </c>
      <c r="G28" s="49" t="inlineStr">
        <is>
          <t>https://dav.edu.vn/</t>
        </is>
      </c>
      <c r="H28" s="49" t="inlineStr">
        <is>
          <t>https://tuyensinh.dav.edu.vn/</t>
        </is>
      </c>
      <c r="I28" s="50" t="n"/>
    </row>
    <row r="29" outlineLevel="2" ht="15" customHeight="1" s="35">
      <c r="A29" s="45" t="inlineStr">
        <is>
          <t>Đại học Y Hà Nội (HMU)</t>
        </is>
      </c>
      <c r="B29" s="46" t="n"/>
      <c r="C29" s="47" t="inlineStr">
        <is>
          <t>Hà Nội</t>
        </is>
      </c>
      <c r="D29" s="47" t="inlineStr">
        <is>
          <t>HMU</t>
        </is>
      </c>
      <c r="E29" s="48">
        <f>COUNTA(HMU!$B$11:$B$500)</f>
        <v/>
      </c>
      <c r="F29" s="48">
        <f>IF(E29&gt;0,"Đã có dữ liệu","Chưa có dữ liệu")</f>
        <v/>
      </c>
      <c r="G29" s="49" t="inlineStr">
        <is>
          <t>https://hmu.edu.vn/</t>
        </is>
      </c>
      <c r="H29" s="49" t="inlineStr">
        <is>
          <t>https://hmu.edu.vn/ (mục Tuyển sinh)</t>
        </is>
      </c>
      <c r="I29" s="50" t="n"/>
    </row>
    <row r="30" outlineLevel="2" ht="15" customHeight="1" s="35">
      <c r="A30" s="45" t="inlineStr">
        <is>
          <t>Đại học Dược Hà Nội (HUP)</t>
        </is>
      </c>
      <c r="B30" s="46" t="n"/>
      <c r="C30" s="47" t="inlineStr">
        <is>
          <t>Hà Nội</t>
        </is>
      </c>
      <c r="D30" s="47" t="inlineStr">
        <is>
          <t>HUP</t>
        </is>
      </c>
      <c r="E30" s="48">
        <f>COUNTA(HUP!$B$11:$B$500)</f>
        <v/>
      </c>
      <c r="F30" s="48">
        <f>IF(E30&gt;0,"Đã có dữ liệu","Chưa có dữ liệu")</f>
        <v/>
      </c>
      <c r="G30" s="49" t="inlineStr">
        <is>
          <t>https://hup.edu.vn/</t>
        </is>
      </c>
      <c r="H30" s="49" t="inlineStr">
        <is>
          <t>https://tuyensinh.hup.edu.vn/</t>
        </is>
      </c>
      <c r="I30" s="50" t="n"/>
    </row>
    <row r="31" outlineLevel="2" ht="15" customHeight="1" s="35">
      <c r="A31" s="45" t="inlineStr">
        <is>
          <t>Đại học Y tế Công cộng (HUPH)</t>
        </is>
      </c>
      <c r="B31" s="46" t="n"/>
      <c r="C31" s="47" t="inlineStr">
        <is>
          <t>Hà Nội</t>
        </is>
      </c>
      <c r="D31" s="47" t="inlineStr">
        <is>
          <t>HUPH</t>
        </is>
      </c>
      <c r="E31" s="48">
        <f>COUNTA(HUPH!$B$11:$B$500)</f>
        <v/>
      </c>
      <c r="F31" s="48">
        <f>IF(E31&gt;0,"Đã có dữ liệu","Chưa có dữ liệu")</f>
        <v/>
      </c>
      <c r="G31" s="49" t="inlineStr">
        <is>
          <t>https://huph.edu.vn/</t>
        </is>
      </c>
      <c r="H31" s="49" t="inlineStr">
        <is>
          <t>https://tuyensinh.huph.edu.vn/</t>
        </is>
      </c>
      <c r="I31" s="50" t="n"/>
    </row>
    <row r="32" outlineLevel="2" ht="15" customHeight="1" s="35">
      <c r="A32" s="45" t="inlineStr">
        <is>
          <t>Trường Đại học Văn hóa Hà Nội (HUC)</t>
        </is>
      </c>
      <c r="B32" s="46" t="n"/>
      <c r="C32" s="47" t="inlineStr">
        <is>
          <t>Hà Nội</t>
        </is>
      </c>
      <c r="D32" s="47" t="inlineStr">
        <is>
          <t>HUC</t>
        </is>
      </c>
      <c r="E32" s="48">
        <f>COUNTA(HUC!$B$11:$B$500)</f>
        <v/>
      </c>
      <c r="F32" s="48">
        <f>IF(E32&gt;0,"Đã có dữ liệu","Chưa có dữ liệu")</f>
        <v/>
      </c>
      <c r="G32" s="49" t="inlineStr">
        <is>
          <t>https://huc.edu.vn/</t>
        </is>
      </c>
      <c r="H32" s="49" t="inlineStr">
        <is>
          <t>https://tuyensinh.huc.edu.vn/</t>
        </is>
      </c>
      <c r="I32" s="50" t="n"/>
    </row>
    <row r="33" outlineLevel="2" ht="15" customHeight="1" s="35">
      <c r="A33" s="45" t="inlineStr">
        <is>
          <t>Trường Đại học Mở Hà Nội (HOU)</t>
        </is>
      </c>
      <c r="B33" s="46" t="n"/>
      <c r="C33" s="47" t="inlineStr">
        <is>
          <t>Hà Nội</t>
        </is>
      </c>
      <c r="D33" s="47" t="inlineStr">
        <is>
          <t>HOU</t>
        </is>
      </c>
      <c r="E33" s="48">
        <f>COUNTA(HOU!$B$11:$B$500)</f>
        <v/>
      </c>
      <c r="F33" s="48">
        <f>IF(E33&gt;0,"Đã có dữ liệu","Chưa có dữ liệu")</f>
        <v/>
      </c>
      <c r="G33" s="49" t="inlineStr">
        <is>
          <t>https://hou.edu.vn/</t>
        </is>
      </c>
      <c r="H33" s="49" t="inlineStr">
        <is>
          <t>https://tuyensinh.hou.edu.vn/</t>
        </is>
      </c>
      <c r="I33" s="50" t="n"/>
    </row>
    <row r="34" outlineLevel="2" ht="15" customHeight="1" s="35">
      <c r="A34" s="45" t="inlineStr">
        <is>
          <t>Trường Đại học Lao động - Xã hội (ULSA)</t>
        </is>
      </c>
      <c r="B34" s="46" t="n"/>
      <c r="C34" s="47" t="inlineStr">
        <is>
          <t>Hà Nội</t>
        </is>
      </c>
      <c r="D34" s="47" t="inlineStr">
        <is>
          <t>ULSA</t>
        </is>
      </c>
      <c r="E34" s="48">
        <f>COUNTA(ULSA!$B$11:$B$500)</f>
        <v/>
      </c>
      <c r="F34" s="48">
        <f>IF(E34&gt;0,"Đã có dữ liệu","Chưa có dữ liệu")</f>
        <v/>
      </c>
      <c r="G34" s="49" t="inlineStr">
        <is>
          <t>https://ulsa.edu.vn/</t>
        </is>
      </c>
      <c r="H34" s="49" t="inlineStr">
        <is>
          <t>https://tuyensinh.ulsa.edu.vn/</t>
        </is>
      </c>
      <c r="I34" s="50" t="n"/>
    </row>
    <row r="35" outlineLevel="2" ht="15" customHeight="1" s="35">
      <c r="A35" s="45" t="inlineStr">
        <is>
          <t>Trường Đại học Giao thông Vận tải (UTC)</t>
        </is>
      </c>
      <c r="B35" s="46" t="n"/>
      <c r="C35" s="47" t="inlineStr">
        <is>
          <t>Hà Nội</t>
        </is>
      </c>
      <c r="D35" s="47" t="inlineStr">
        <is>
          <t>UTC</t>
        </is>
      </c>
      <c r="E35" s="48">
        <f>COUNTA(UTC!$B$11:$B$500)</f>
        <v/>
      </c>
      <c r="F35" s="48">
        <f>IF(E35&gt;0,"Đã có dữ liệu","Chưa có dữ liệu")</f>
        <v/>
      </c>
      <c r="G35" s="49" t="inlineStr">
        <is>
          <t>https://utc.edu.vn/</t>
        </is>
      </c>
      <c r="H35" s="49" t="inlineStr">
        <is>
          <t>https://tuyensinh.utc.edu.vn/</t>
        </is>
      </c>
      <c r="I35" s="50" t="n"/>
    </row>
    <row r="36" outlineLevel="2" ht="15" customHeight="1" s="35">
      <c r="A36" s="45" t="inlineStr">
        <is>
          <t>Trường Đại học Khoa học và Công nghệ Hà Nội (USTH)</t>
        </is>
      </c>
      <c r="B36" s="46" t="n"/>
      <c r="C36" s="47" t="inlineStr">
        <is>
          <t>Hà Nội</t>
        </is>
      </c>
      <c r="D36" s="47" t="inlineStr">
        <is>
          <t>USTH</t>
        </is>
      </c>
      <c r="E36" s="48">
        <f>COUNTA(USTH!$B$11:$B$500)</f>
        <v/>
      </c>
      <c r="F36" s="48">
        <f>IF(E36&gt;0,"Đã có dữ liệu","Chưa có dữ liệu")</f>
        <v/>
      </c>
      <c r="G36" s="49" t="inlineStr">
        <is>
          <t>https://usth.edu.vn/</t>
        </is>
      </c>
      <c r="H36" s="49" t="inlineStr">
        <is>
          <t>https://tuyensinh.usth.edu.vn/</t>
        </is>
      </c>
      <c r="I36" s="50" t="n"/>
    </row>
    <row r="37" outlineLevel="2" ht="15" customHeight="1" s="35">
      <c r="A37" s="45" t="inlineStr">
        <is>
          <t>Trường Đại học Phenikaa</t>
        </is>
      </c>
      <c r="B37" s="46" t="n"/>
      <c r="C37" s="47" t="inlineStr">
        <is>
          <t>Hà Nội</t>
        </is>
      </c>
      <c r="D37" s="47" t="n"/>
      <c r="E37" s="48">
        <f>COUNTA(Phenikaa!$B$11:$B$500)</f>
        <v/>
      </c>
      <c r="F37" s="48">
        <f>IF(E37&gt;0,"Đã có dữ liệu","Chưa có dữ liệu")</f>
        <v/>
      </c>
      <c r="G37" s="49" t="inlineStr">
        <is>
          <t>https://phenikaa-uni.edu.vn/</t>
        </is>
      </c>
      <c r="H37" s="49" t="inlineStr">
        <is>
          <t>https://tuyensinh.phenikaa-uni.edu.vn/</t>
        </is>
      </c>
      <c r="I37" s="50" t="n"/>
    </row>
    <row r="38" outlineLevel="2" ht="15" customHeight="1" s="35">
      <c r="A38" s="45" t="inlineStr">
        <is>
          <t>Trường Đại học Thăng Long</t>
        </is>
      </c>
      <c r="B38" s="46" t="n"/>
      <c r="C38" s="47" t="inlineStr">
        <is>
          <t>Hà Nội</t>
        </is>
      </c>
      <c r="D38" s="47" t="n"/>
      <c r="E38" s="48">
        <f>COUNTA('Thăng Long'!$B$11:$B$500)</f>
        <v/>
      </c>
      <c r="F38" s="48">
        <f>IF(E38&gt;0,"Đã có dữ liệu","Chưa có dữ liệu")</f>
        <v/>
      </c>
      <c r="G38" s="49" t="inlineStr">
        <is>
          <t>https://thanglong.edu.vn/</t>
        </is>
      </c>
      <c r="H38" s="49" t="inlineStr">
        <is>
          <t>https://tuyensinh.thanglong.edu.vn/</t>
        </is>
      </c>
      <c r="I38" s="50" t="n"/>
    </row>
    <row r="39" outlineLevel="2" ht="15" customHeight="1" s="35">
      <c r="A39" s="45" t="inlineStr">
        <is>
          <t>Trường Đại học CMC</t>
        </is>
      </c>
      <c r="B39" s="46" t="n"/>
      <c r="C39" s="47" t="inlineStr">
        <is>
          <t>Hà Nội</t>
        </is>
      </c>
      <c r="D39" s="47" t="n"/>
      <c r="E39" s="48">
        <f>COUNTA(CMC!$B$11:$B$500)</f>
        <v/>
      </c>
      <c r="F39" s="48">
        <f>IF(E39&gt;0,"Đã có dữ liệu","Chưa có dữ liệu")</f>
        <v/>
      </c>
      <c r="G39" s="49" t="inlineStr">
        <is>
          <t>https://cmc-u.edu.vn/</t>
        </is>
      </c>
      <c r="H39" s="49" t="inlineStr">
        <is>
          <t>https://tuyensinh.cmc-u.edu.vn/</t>
        </is>
      </c>
      <c r="I39" s="50" t="n"/>
    </row>
    <row r="40" outlineLevel="2" ht="15" customHeight="1" s="35">
      <c r="A40" s="45" t="inlineStr">
        <is>
          <t>Trường Đại học Đại Nam</t>
        </is>
      </c>
      <c r="B40" s="46" t="n"/>
      <c r="C40" s="47" t="inlineStr">
        <is>
          <t>Hà Nội</t>
        </is>
      </c>
      <c r="D40" s="47" t="n"/>
      <c r="E40" s="48">
        <f>COUNTA('Đại Nam'!$B$11:$B$500)</f>
        <v/>
      </c>
      <c r="F40" s="48">
        <f>IF(E40&gt;0,"Đã có dữ liệu","Chưa có dữ liệu")</f>
        <v/>
      </c>
      <c r="G40" s="49" t="inlineStr">
        <is>
          <t>https://dainam.edu.vn/</t>
        </is>
      </c>
      <c r="H40" s="49" t="inlineStr">
        <is>
          <t>https://tuyensinh.dainam.edu.vn/</t>
        </is>
      </c>
      <c r="I40" s="50" t="n"/>
    </row>
    <row r="41" outlineLevel="2" ht="15" customHeight="1" s="35">
      <c r="A41" s="45" t="inlineStr">
        <is>
          <t>Trường Đại học Kinh doanh và Công nghệ Hà Nội (HUBT)</t>
        </is>
      </c>
      <c r="B41" s="46" t="n"/>
      <c r="C41" s="47" t="inlineStr">
        <is>
          <t>Hà Nội</t>
        </is>
      </c>
      <c r="D41" s="47" t="inlineStr">
        <is>
          <t>HUBT</t>
        </is>
      </c>
      <c r="E41" s="48">
        <f>COUNTA(HUBT!$B$11:$B$500)</f>
        <v/>
      </c>
      <c r="F41" s="48">
        <f>IF(E41&gt;0,"Đã có dữ liệu","Chưa có dữ liệu")</f>
        <v/>
      </c>
      <c r="G41" s="49" t="inlineStr">
        <is>
          <t>https://hubt.edu.vn/</t>
        </is>
      </c>
      <c r="H41" s="49" t="inlineStr">
        <is>
          <t>https://tuyensinh.hubt.edu.vn/</t>
        </is>
      </c>
      <c r="I41" s="50" t="n"/>
    </row>
    <row r="42" outlineLevel="2" ht="15" customHeight="1" s="35">
      <c r="A42" s="45" t="inlineStr">
        <is>
          <t>Trường Đại học Công nghiệp Việt - Hung</t>
        </is>
      </c>
      <c r="B42" s="46" t="n"/>
      <c r="C42" s="47" t="inlineStr">
        <is>
          <t>Hà Nội</t>
        </is>
      </c>
      <c r="D42" s="47" t="n"/>
      <c r="E42" s="48">
        <f>COUNTA('Việt - Hung (VIU)'!$B$11:$B$500)</f>
        <v/>
      </c>
      <c r="F42" s="48">
        <f>IF(E42&gt;0,"Đã có dữ liệu","Chưa có dữ liệu")</f>
        <v/>
      </c>
      <c r="G42" s="49" t="inlineStr">
        <is>
          <t>https://viu.edu.vn/</t>
        </is>
      </c>
      <c r="H42" s="49" t="inlineStr">
        <is>
          <t>https://tuyensinh.viu.edu.vn/</t>
        </is>
      </c>
      <c r="I42" s="50" t="n"/>
    </row>
    <row r="43" outlineLevel="2" ht="15" customHeight="1" s="35">
      <c r="A43" s="45" t="inlineStr">
        <is>
          <t>Học viện Kỹ thuật Quân sự (MTA)</t>
        </is>
      </c>
      <c r="B43" s="46" t="n"/>
      <c r="C43" s="47" t="inlineStr">
        <is>
          <t>Hà Nội</t>
        </is>
      </c>
      <c r="D43" s="47" t="inlineStr">
        <is>
          <t>MTA</t>
        </is>
      </c>
      <c r="E43" s="48">
        <f>COUNTA(MTA!$B$11:$B$500)</f>
        <v/>
      </c>
      <c r="F43" s="48">
        <f>IF(E43&gt;0,"Đã có dữ liệu","Chưa có dữ liệu")</f>
        <v/>
      </c>
      <c r="G43" s="49" t="inlineStr">
        <is>
          <t>https://mta.edu.vn/</t>
        </is>
      </c>
      <c r="H43" s="49" t="inlineStr">
        <is>
          <t>https://mta.edu.vn/ (mục Tuyển sinh)</t>
        </is>
      </c>
      <c r="I43" s="50" t="n"/>
    </row>
    <row r="44" outlineLevel="2" ht="15" customHeight="1" s="35">
      <c r="A44" s="45" t="inlineStr">
        <is>
          <t>Học viện Quân y</t>
        </is>
      </c>
      <c r="B44" s="46" t="n"/>
      <c r="C44" s="47" t="inlineStr">
        <is>
          <t>Hà Nội</t>
        </is>
      </c>
      <c r="D44" s="47" t="n"/>
      <c r="E44" s="48">
        <f>COUNTA('HV Quân y'!$B$11:$B$500)</f>
        <v/>
      </c>
      <c r="F44" s="48">
        <f>IF(E44&gt;0,"Đã có dữ liệu","Chưa có dữ liệu")</f>
        <v/>
      </c>
      <c r="G44" s="49" t="inlineStr">
        <is>
          <t>https://hvqy.edu.vn/</t>
        </is>
      </c>
      <c r="H44" s="49" t="inlineStr">
        <is>
          <t>https://tuyensinh.hvqy.edu.vn/</t>
        </is>
      </c>
      <c r="I44" s="50" t="n"/>
    </row>
    <row r="45" outlineLevel="2" ht="15" customHeight="1" s="35">
      <c r="A45" s="45" t="inlineStr">
        <is>
          <t>Học viện Khoa học Quân sự</t>
        </is>
      </c>
      <c r="B45" s="46" t="n"/>
      <c r="C45" s="47" t="inlineStr">
        <is>
          <t>Hà Nội</t>
        </is>
      </c>
      <c r="D45" s="47" t="n"/>
      <c r="E45" s="48">
        <f>COUNTA('HV KH Quân sự'!$B$11:$B$500)</f>
        <v/>
      </c>
      <c r="F45" s="48">
        <f>IF(E45&gt;0,"Đã có dữ liệu","Chưa có dữ liệu")</f>
        <v/>
      </c>
      <c r="G45" s="49" t="inlineStr">
        <is>
          <t>https://hocvienkhoahocquan.su.edu.vn/ hoặc trang Bộ Quốc phòng</t>
        </is>
      </c>
      <c r="H45" s="47" t="inlineStr">
        <is>
          <t>Trang tuyển sinh quân sự chung</t>
        </is>
      </c>
      <c r="I45" s="50" t="n"/>
    </row>
    <row r="46" outlineLevel="2" ht="15" customHeight="1" s="35">
      <c r="A46" s="45" t="inlineStr">
        <is>
          <t>Học viện Biên phòng</t>
        </is>
      </c>
      <c r="B46" s="46" t="n"/>
      <c r="C46" s="47" t="inlineStr">
        <is>
          <t>Hà Nội</t>
        </is>
      </c>
      <c r="D46" s="47" t="n"/>
      <c r="E46" s="48">
        <f>COUNTA('HV Biên phòng'!$B$11:$B$500)</f>
        <v/>
      </c>
      <c r="F46" s="48">
        <f>IF(E46&gt;0,"Đã có dữ liệu","Chưa có dữ liệu")</f>
        <v/>
      </c>
      <c r="G46" s="49" t="inlineStr">
        <is>
          <t>https://hocvienbienphong.edu.vn/</t>
        </is>
      </c>
      <c r="H46" s="47" t="inlineStr">
        <is>
          <t>Trang tuyển sinh quân sự</t>
        </is>
      </c>
      <c r="I46" s="50" t="n"/>
    </row>
    <row r="47" outlineLevel="2" ht="15" customHeight="1" s="35">
      <c r="A47" s="45" t="inlineStr">
        <is>
          <t>Học viện Hậu cần</t>
        </is>
      </c>
      <c r="B47" s="46" t="n"/>
      <c r="C47" s="47" t="inlineStr">
        <is>
          <t>Hà Nội</t>
        </is>
      </c>
      <c r="D47" s="47" t="n"/>
      <c r="E47" s="48">
        <f>COUNTA('HV Hậu cần'!$B$11:$B$500)</f>
        <v/>
      </c>
      <c r="F47" s="48">
        <f>IF(E47&gt;0,"Đã có dữ liệu","Chưa có dữ liệu")</f>
        <v/>
      </c>
      <c r="G47" s="49" t="inlineStr">
        <is>
          <t>https://hocvienhaucan.edu.vn/</t>
        </is>
      </c>
      <c r="H47" s="47" t="inlineStr">
        <is>
          <t>Trang tuyển sinh quân sự</t>
        </is>
      </c>
      <c r="I47" s="50" t="n"/>
    </row>
    <row r="48" outlineLevel="2" ht="15" customHeight="1" s="35">
      <c r="A48" s="45" t="inlineStr">
        <is>
          <t>Học viện Phòng không - Không quân</t>
        </is>
      </c>
      <c r="B48" s="46" t="n"/>
      <c r="C48" s="47" t="inlineStr">
        <is>
          <t>Hà Nội</t>
        </is>
      </c>
      <c r="D48" s="47" t="n"/>
      <c r="E48" s="48">
        <f>COUNTA('HV PK-KQ'!$B$11:$B$500)</f>
        <v/>
      </c>
      <c r="F48" s="48">
        <f>IF(E48&gt;0,"Đã có dữ liệu","Chưa có dữ liệu")</f>
        <v/>
      </c>
      <c r="G48" s="49" t="inlineStr">
        <is>
          <t>https://hocvienpkkq.edu.vn/</t>
        </is>
      </c>
      <c r="H48" s="47" t="inlineStr">
        <is>
          <t>Trang tuyển sinh quân sự</t>
        </is>
      </c>
      <c r="I48" s="50" t="n"/>
    </row>
    <row r="49" outlineLevel="2" ht="15" customHeight="1" s="35">
      <c r="A49" s="45" t="inlineStr">
        <is>
          <t>Trường Sĩ quan Lục quân 1</t>
        </is>
      </c>
      <c r="B49" s="46" t="n"/>
      <c r="C49" s="47" t="inlineStr">
        <is>
          <t>Hà Nội</t>
        </is>
      </c>
      <c r="D49" s="47" t="n"/>
      <c r="E49" s="48">
        <f>COUNTA('SQ Lục quân 1'!$B$11:$B$500)</f>
        <v/>
      </c>
      <c r="F49" s="48">
        <f>IF(E49&gt;0,"Đã có dữ liệu","Chưa có dữ liệu")</f>
        <v/>
      </c>
      <c r="G49" s="49" t="inlineStr">
        <is>
          <t>https://truongsq1.edu.vn/</t>
        </is>
      </c>
      <c r="H49" s="47" t="inlineStr">
        <is>
          <t>Trang tuyển sinh quân sự</t>
        </is>
      </c>
      <c r="I49" s="50" t="n"/>
    </row>
    <row r="50" outlineLevel="2" ht="15" customHeight="1" s="35">
      <c r="A50" s="45" t="inlineStr">
        <is>
          <t>Trường Sĩ quan Đặc công</t>
        </is>
      </c>
      <c r="B50" s="46" t="n"/>
      <c r="C50" s="47" t="inlineStr">
        <is>
          <t>Hà Nội</t>
        </is>
      </c>
      <c r="D50" s="47" t="n"/>
      <c r="E50" s="48">
        <f>COUNTA('SQ Đặc công'!$B$11:$B$500)</f>
        <v/>
      </c>
      <c r="F50" s="48">
        <f>IF(E50&gt;0,"Đã có dữ liệu","Chưa có dữ liệu")</f>
        <v/>
      </c>
      <c r="G50" s="49" t="inlineStr">
        <is>
          <t>https://truongdaccong.edu.vn/</t>
        </is>
      </c>
      <c r="H50" s="47" t="inlineStr">
        <is>
          <t>Trang tuyển sinh quân sự</t>
        </is>
      </c>
      <c r="I50" s="50" t="n"/>
    </row>
    <row r="51" outlineLevel="2" ht="15" customHeight="1" s="35">
      <c r="A51" s="45" t="inlineStr">
        <is>
          <t>Trường Sĩ quan Phòng hóa</t>
        </is>
      </c>
      <c r="B51" s="46" t="n"/>
      <c r="C51" s="47" t="inlineStr">
        <is>
          <t>Hà Nội</t>
        </is>
      </c>
      <c r="D51" s="47" t="n"/>
      <c r="E51" s="48">
        <f>COUNTA('SQ Phòng hóa'!$B$11:$B$500)</f>
        <v/>
      </c>
      <c r="F51" s="48">
        <f>IF(E51&gt;0,"Đã có dữ liệu","Chưa có dữ liệu")</f>
        <v/>
      </c>
      <c r="G51" s="49" t="inlineStr">
        <is>
          <t>https://truongphonghoa.edu.vn/</t>
        </is>
      </c>
      <c r="H51" s="47" t="inlineStr">
        <is>
          <t>Trang tuyển sinh quân sự</t>
        </is>
      </c>
      <c r="I51" s="50" t="n"/>
    </row>
    <row r="52" outlineLevel="2" ht="15" customHeight="1" s="35">
      <c r="A52" s="45" t="inlineStr">
        <is>
          <t>Trường Sĩ quan Pháo binh</t>
        </is>
      </c>
      <c r="B52" s="46" t="n"/>
      <c r="C52" s="47" t="inlineStr">
        <is>
          <t>Hà Nội</t>
        </is>
      </c>
      <c r="D52" s="47" t="n"/>
      <c r="E52" s="48">
        <f>COUNTA('SQ Pháo binh'!$B$11:$B$500)</f>
        <v/>
      </c>
      <c r="F52" s="48">
        <f>IF(E52&gt;0,"Đã có dữ liệu","Chưa có dữ liệu")</f>
        <v/>
      </c>
      <c r="G52" s="49" t="inlineStr">
        <is>
          <t>https://truongphaobinh.edu.vn/</t>
        </is>
      </c>
      <c r="H52" s="47" t="inlineStr">
        <is>
          <t>Trang tuyển sinh quân sự</t>
        </is>
      </c>
      <c r="I52" s="50" t="inlineStr">
        <is>
          <t>Địa điểm chưa đối chiếu nguồn - cần xác minh.</t>
        </is>
      </c>
    </row>
    <row r="53" outlineLevel="2" ht="15" customHeight="1" s="35">
      <c r="A53" s="45" t="inlineStr">
        <is>
          <t>Học viện An ninh nhân dân</t>
        </is>
      </c>
      <c r="B53" s="46" t="n"/>
      <c r="C53" s="47" t="inlineStr">
        <is>
          <t>Hà Nội</t>
        </is>
      </c>
      <c r="D53" s="47" t="n"/>
      <c r="E53" s="48">
        <f>COUNTA('HV An ninh ND'!$B$11:$B$500)</f>
        <v/>
      </c>
      <c r="F53" s="48">
        <f>IF(E53&gt;0,"Đã có dữ liệu","Chưa có dữ liệu")</f>
        <v/>
      </c>
      <c r="G53" s="49" t="inlineStr">
        <is>
          <t>https://hvanninh.edu.vn/</t>
        </is>
      </c>
      <c r="H53" s="49" t="inlineStr">
        <is>
          <t>https://tuyensinh.hvanninh.edu.vn/</t>
        </is>
      </c>
      <c r="I53" s="50" t="n"/>
    </row>
    <row r="54" outlineLevel="2" ht="15" customHeight="1" s="35">
      <c r="A54" s="45" t="inlineStr">
        <is>
          <t>Học viện Cảnh sát nhân dân</t>
        </is>
      </c>
      <c r="B54" s="46" t="n"/>
      <c r="C54" s="47" t="inlineStr">
        <is>
          <t>Hà Nội</t>
        </is>
      </c>
      <c r="D54" s="47" t="n"/>
      <c r="E54" s="48">
        <f>COUNTA('HV Cảnh sát ND'!$B$11:$B$500)</f>
        <v/>
      </c>
      <c r="F54" s="48">
        <f>IF(E54&gt;0,"Đã có dữ liệu","Chưa có dữ liệu")</f>
        <v/>
      </c>
      <c r="G54" s="49" t="inlineStr">
        <is>
          <t>https://hvcsnd.edu.vn/</t>
        </is>
      </c>
      <c r="H54" s="49" t="inlineStr">
        <is>
          <t>https://tuyensinh.hvcsnd.edu.vn/</t>
        </is>
      </c>
      <c r="I54" s="50" t="n"/>
    </row>
    <row r="55" outlineLevel="2" ht="15" customHeight="1" s="35">
      <c r="A55" s="45" t="inlineStr">
        <is>
          <t>Học viện Chính trị Công an nhân dân</t>
        </is>
      </c>
      <c r="B55" s="46" t="n"/>
      <c r="C55" s="47" t="inlineStr">
        <is>
          <t>Hà Nội</t>
        </is>
      </c>
      <c r="D55" s="47" t="n"/>
      <c r="E55" s="48">
        <f>COUNTA('HV Chính trị CAND'!$B$11:$B$500)</f>
        <v/>
      </c>
      <c r="F55" s="48">
        <f>IF(E55&gt;0,"Đã có dữ liệu","Chưa có dữ liệu")</f>
        <v/>
      </c>
      <c r="G55" s="49" t="inlineStr">
        <is>
          <t>https://hocvienchinhtricand.edu.vn/</t>
        </is>
      </c>
      <c r="H55" s="47" t="inlineStr">
        <is>
          <t>Trang tuyển sinh công an</t>
        </is>
      </c>
      <c r="I55" s="50" t="n"/>
    </row>
    <row r="56" outlineLevel="2" ht="15" customHeight="1" s="35">
      <c r="A56" s="45" t="inlineStr">
        <is>
          <t>Học viện Kỹ thuật và Công nghệ An ninh</t>
        </is>
      </c>
      <c r="B56" s="46" t="n"/>
      <c r="C56" s="47" t="inlineStr">
        <is>
          <t>Hà Nội</t>
        </is>
      </c>
      <c r="D56" s="47" t="n"/>
      <c r="E56" s="48">
        <f>COUNTA('HV KT-CN An ninh'!$B$11:$B$500)</f>
        <v/>
      </c>
      <c r="F56" s="48">
        <f>IF(E56&gt;0,"Đã có dữ liệu","Chưa có dữ liệu")</f>
        <v/>
      </c>
      <c r="G56" s="49" t="inlineStr">
        <is>
          <t>https://hocvienkythuatanninh.edu.vn/</t>
        </is>
      </c>
      <c r="H56" s="47" t="inlineStr">
        <is>
          <t>Trang tuyển sinh công an</t>
        </is>
      </c>
      <c r="I56" s="50" t="inlineStr">
        <is>
          <t>Địa điểm chưa đối chiếu nguồn - cần xác minh.</t>
        </is>
      </c>
    </row>
    <row r="57" outlineLevel="2" ht="15" customHeight="1" s="35">
      <c r="A57" s="45" t="inlineStr">
        <is>
          <t>Trường Đại học Phòng cháy chữa cháy</t>
        </is>
      </c>
      <c r="B57" s="46" t="n"/>
      <c r="C57" s="47" t="inlineStr">
        <is>
          <t>Hà Nội</t>
        </is>
      </c>
      <c r="D57" s="47" t="n"/>
      <c r="E57" s="48">
        <f>COUNTA('ĐH PCCC'!$B$11:$B$500)</f>
        <v/>
      </c>
      <c r="F57" s="48">
        <f>IF(E57&gt;0,"Đã có dữ liệu","Chưa có dữ liệu")</f>
        <v/>
      </c>
      <c r="G57" s="49" t="inlineStr">
        <is>
          <t>https://daihocpccc.edu.vn/</t>
        </is>
      </c>
      <c r="H57" s="49" t="inlineStr">
        <is>
          <t>https://tuyensinh.daihocpccc.edu.vn/</t>
        </is>
      </c>
      <c r="I57" s="50" t="n"/>
    </row>
    <row r="58" outlineLevel="1" ht="15" customHeight="1" s="35">
      <c r="A58" s="42" t="inlineStr">
        <is>
          <t>Thái Nguyên</t>
        </is>
      </c>
      <c r="B58" s="43">
        <f>COUNTA(A59:A64)</f>
        <v/>
      </c>
      <c r="C58" s="44" t="n"/>
      <c r="D58" s="44" t="n"/>
      <c r="E58" s="44" t="n"/>
      <c r="F58" s="44" t="n"/>
      <c r="G58" s="44" t="n"/>
      <c r="H58" s="44" t="n"/>
      <c r="I58" s="44" t="n"/>
    </row>
    <row r="59" outlineLevel="2" ht="15" customHeight="1" s="35">
      <c r="A59" s="45" t="inlineStr">
        <is>
          <t>Trường Đại học Kinh tế và Quản trị Kinh doanh - ĐH Thái Nguyên (TUEBA)</t>
        </is>
      </c>
      <c r="B59" s="46" t="n"/>
      <c r="C59" s="47" t="inlineStr">
        <is>
          <t>Thái Nguyên</t>
        </is>
      </c>
      <c r="D59" s="47" t="inlineStr">
        <is>
          <t>TUEBA</t>
        </is>
      </c>
      <c r="E59" s="48">
        <f>COUNTA(TUEBA!$B$11:$B$500)</f>
        <v/>
      </c>
      <c r="F59" s="48">
        <f>IF(E59&gt;0,"Đã có dữ liệu","Chưa có dữ liệu")</f>
        <v/>
      </c>
      <c r="G59" s="49" t="inlineStr">
        <is>
          <t>https://tueba.edu.vn/</t>
        </is>
      </c>
      <c r="H59" s="49" t="inlineStr">
        <is>
          <t>https://tuyensinh.tueba.edu.vn/</t>
        </is>
      </c>
      <c r="I59" s="50" t="n"/>
    </row>
    <row r="60" outlineLevel="2" ht="15" customHeight="1" s="35">
      <c r="A60" s="45" t="inlineStr">
        <is>
          <t>Trường Đại học Công nghệ Thông tin và Truyền thông - ĐH Thái Nguyên (ICTU)</t>
        </is>
      </c>
      <c r="B60" s="46" t="n"/>
      <c r="C60" s="47" t="inlineStr">
        <is>
          <t>Thái Nguyên</t>
        </is>
      </c>
      <c r="D60" s="47" t="inlineStr">
        <is>
          <t>ICTU</t>
        </is>
      </c>
      <c r="E60" s="48">
        <f>COUNTA(ICTU!$B$11:$B$500)</f>
        <v/>
      </c>
      <c r="F60" s="48">
        <f>IF(E60&gt;0,"Đã có dữ liệu","Chưa có dữ liệu")</f>
        <v/>
      </c>
      <c r="G60" s="49" t="inlineStr">
        <is>
          <t>https://ictu.edu.vn/</t>
        </is>
      </c>
      <c r="H60" s="49" t="inlineStr">
        <is>
          <t>https://tuyensinh.ictu.edu.vn/</t>
        </is>
      </c>
      <c r="I60" s="50" t="n"/>
    </row>
    <row r="61" outlineLevel="2" ht="15" customHeight="1" s="35">
      <c r="A61" s="45" t="inlineStr">
        <is>
          <t>Trường Đại học Kỹ thuật Công nghiệp - ĐH Thái Nguyên (TNUT)</t>
        </is>
      </c>
      <c r="B61" s="46" t="n"/>
      <c r="C61" s="47" t="inlineStr">
        <is>
          <t>Thái Nguyên</t>
        </is>
      </c>
      <c r="D61" s="47" t="inlineStr">
        <is>
          <t>TNUT</t>
        </is>
      </c>
      <c r="E61" s="48">
        <f>COUNTA(TNUT!$B$11:$B$500)</f>
        <v/>
      </c>
      <c r="F61" s="48">
        <f>IF(E61&gt;0,"Đã có dữ liệu","Chưa có dữ liệu")</f>
        <v/>
      </c>
      <c r="G61" s="49" t="inlineStr">
        <is>
          <t>https://tnut.edu.vn/</t>
        </is>
      </c>
      <c r="H61" s="49" t="inlineStr">
        <is>
          <t>https://tuyensinh.tnut.edu.vn/</t>
        </is>
      </c>
      <c r="I61" s="50" t="n"/>
    </row>
    <row r="62" outlineLevel="2" ht="15" customHeight="1" s="35">
      <c r="A62" s="45" t="inlineStr">
        <is>
          <t>Trường Đại học Nông Lâm - ĐH Thái Nguyên (TUAF)</t>
        </is>
      </c>
      <c r="B62" s="46" t="n"/>
      <c r="C62" s="47" t="inlineStr">
        <is>
          <t>Thái Nguyên</t>
        </is>
      </c>
      <c r="D62" s="47" t="inlineStr">
        <is>
          <t>TUAF</t>
        </is>
      </c>
      <c r="E62" s="48">
        <f>COUNTA(TUAF!$B$11:$B$500)</f>
        <v/>
      </c>
      <c r="F62" s="48">
        <f>IF(E62&gt;0,"Đã có dữ liệu","Chưa có dữ liệu")</f>
        <v/>
      </c>
      <c r="G62" s="49" t="inlineStr">
        <is>
          <t>https://tuaf.edu.vn/</t>
        </is>
      </c>
      <c r="H62" s="49" t="inlineStr">
        <is>
          <t>https://tuyensinh.tuaf.edu.vn/</t>
        </is>
      </c>
      <c r="I62" s="50" t="n"/>
    </row>
    <row r="63" outlineLevel="2" ht="15" customHeight="1" s="35">
      <c r="A63" s="45" t="inlineStr">
        <is>
          <t>Trường Đại học Y - Dược - ĐH Thái Nguyên (TUMP)</t>
        </is>
      </c>
      <c r="B63" s="46" t="n"/>
      <c r="C63" s="47" t="inlineStr">
        <is>
          <t>Thái Nguyên</t>
        </is>
      </c>
      <c r="D63" s="47" t="inlineStr">
        <is>
          <t>TUMP</t>
        </is>
      </c>
      <c r="E63" s="48">
        <f>COUNTA(TUMP!$B$11:$B$500)</f>
        <v/>
      </c>
      <c r="F63" s="48">
        <f>IF(E63&gt;0,"Đã có dữ liệu","Chưa có dữ liệu")</f>
        <v/>
      </c>
      <c r="G63" s="49" t="inlineStr">
        <is>
          <t>https://tump.edu.vn/</t>
        </is>
      </c>
      <c r="H63" s="49" t="inlineStr">
        <is>
          <t>https://tuyensinh.tump.edu.vn/</t>
        </is>
      </c>
      <c r="I63" s="50" t="n"/>
    </row>
    <row r="64" outlineLevel="2" ht="15" customHeight="1" s="35">
      <c r="A64" s="45" t="inlineStr">
        <is>
          <t>Trường Đại học Sư phạm - ĐH Thái Nguyên (TNUE)</t>
        </is>
      </c>
      <c r="B64" s="46" t="n"/>
      <c r="C64" s="47" t="inlineStr">
        <is>
          <t>Thái Nguyên</t>
        </is>
      </c>
      <c r="D64" s="47" t="inlineStr">
        <is>
          <t>TNUE</t>
        </is>
      </c>
      <c r="E64" s="48">
        <f>COUNTA(TNUE!$B$11:$B$500)</f>
        <v/>
      </c>
      <c r="F64" s="48">
        <f>IF(E64&gt;0,"Đã có dữ liệu","Chưa có dữ liệu")</f>
        <v/>
      </c>
      <c r="G64" s="49" t="inlineStr">
        <is>
          <t>https://tnue.edu.vn/</t>
        </is>
      </c>
      <c r="H64" s="49" t="inlineStr">
        <is>
          <t>https://tuyensinh.tnue.edu.vn/</t>
        </is>
      </c>
      <c r="I64" s="50" t="n"/>
    </row>
    <row r="65" outlineLevel="1" ht="15" customHeight="1" s="35">
      <c r="A65" s="42" t="inlineStr">
        <is>
          <t>Hải Phòng</t>
        </is>
      </c>
      <c r="B65" s="43">
        <f>COUNTA(A66:A68)</f>
        <v/>
      </c>
      <c r="C65" s="44" t="n"/>
      <c r="D65" s="44" t="n"/>
      <c r="E65" s="44" t="n"/>
      <c r="F65" s="44" t="n"/>
      <c r="G65" s="44" t="n"/>
      <c r="H65" s="44" t="n"/>
      <c r="I65" s="44" t="n"/>
    </row>
    <row r="66" outlineLevel="2" ht="15" customHeight="1" s="35">
      <c r="A66" s="45" t="inlineStr">
        <is>
          <t>Trường Đại học Hải Phòng</t>
        </is>
      </c>
      <c r="B66" s="46" t="n"/>
      <c r="C66" s="47" t="inlineStr">
        <is>
          <t>Hải Phòng</t>
        </is>
      </c>
      <c r="D66" s="47" t="n"/>
      <c r="E66" s="48">
        <f>COUNTA('ĐH Hải Phòng'!$B$11:$B$500)</f>
        <v/>
      </c>
      <c r="F66" s="48">
        <f>IF(E66&gt;0,"Đã có dữ liệu","Chưa có dữ liệu")</f>
        <v/>
      </c>
      <c r="G66" s="49" t="inlineStr">
        <is>
          <t>https://dhhp.edu.vn/</t>
        </is>
      </c>
      <c r="H66" s="49" t="inlineStr">
        <is>
          <t>https://tuyensinh.dhhp.edu.vn/</t>
        </is>
      </c>
      <c r="I66" s="50" t="n"/>
    </row>
    <row r="67" outlineLevel="2" ht="15" customHeight="1" s="35">
      <c r="A67" s="45" t="inlineStr">
        <is>
          <t>Đại học Hàng hải Việt Nam (VMU)</t>
        </is>
      </c>
      <c r="B67" s="46" t="n"/>
      <c r="C67" s="47" t="inlineStr">
        <is>
          <t>Hải Phòng</t>
        </is>
      </c>
      <c r="D67" s="47" t="inlineStr">
        <is>
          <t>VMU</t>
        </is>
      </c>
      <c r="E67" s="48">
        <f>COUNTA(VMU!$B$11:$B$500)</f>
        <v/>
      </c>
      <c r="F67" s="48">
        <f>IF(E67&gt;0,"Đã có dữ liệu","Chưa có dữ liệu")</f>
        <v/>
      </c>
      <c r="G67" s="49" t="inlineStr">
        <is>
          <t>https://vimaru.edu.vn/</t>
        </is>
      </c>
      <c r="H67" s="49" t="inlineStr">
        <is>
          <t>https://tuyensinh.vimaru.edu.vn/</t>
        </is>
      </c>
      <c r="I67" s="50" t="n"/>
    </row>
    <row r="68" outlineLevel="2" ht="15" customHeight="1" s="35">
      <c r="A68" s="45" t="inlineStr">
        <is>
          <t>Trường Đại học Kỹ thuật Y tế Hải Dương</t>
        </is>
      </c>
      <c r="B68" s="46" t="n"/>
      <c r="C68" s="47" t="inlineStr">
        <is>
          <t>Hải Dương</t>
        </is>
      </c>
      <c r="D68" s="47" t="n"/>
      <c r="E68" s="48">
        <f>COUNTA('KT Y tế Hải Dương'!$B$11:$B$500)</f>
        <v/>
      </c>
      <c r="F68" s="48">
        <f>IF(E68&gt;0,"Đã có dữ liệu","Chưa có dữ liệu")</f>
        <v/>
      </c>
      <c r="G68" s="49" t="inlineStr">
        <is>
          <t>https://hmt.edu.vn/</t>
        </is>
      </c>
      <c r="H68" s="49" t="inlineStr">
        <is>
          <t>https://tuyensinh.hmt.edu.vn/</t>
        </is>
      </c>
      <c r="I68" s="50" t="n"/>
    </row>
    <row r="69" outlineLevel="1" ht="15" customHeight="1" s="35">
      <c r="A69" s="42" t="inlineStr">
        <is>
          <t>Hưng Yên</t>
        </is>
      </c>
      <c r="B69" s="43">
        <f>COUNTA(A70:A70)</f>
        <v/>
      </c>
      <c r="C69" s="44" t="n"/>
      <c r="D69" s="44" t="n"/>
      <c r="E69" s="44" t="n"/>
      <c r="F69" s="44" t="n"/>
      <c r="G69" s="44" t="n"/>
      <c r="H69" s="44" t="n"/>
      <c r="I69" s="44" t="n"/>
    </row>
    <row r="70" outlineLevel="2" ht="15" customHeight="1" s="35">
      <c r="A70" s="45" t="inlineStr">
        <is>
          <t>Trường Đại học Sư phạm Kỹ thuật Hưng Yên (UTEHY)</t>
        </is>
      </c>
      <c r="B70" s="46" t="n"/>
      <c r="C70" s="47" t="inlineStr">
        <is>
          <t>Hưng Yên</t>
        </is>
      </c>
      <c r="D70" s="47" t="inlineStr">
        <is>
          <t>UTEHY</t>
        </is>
      </c>
      <c r="E70" s="48">
        <f>COUNTA(UTEHY!$B$11:$B$500)</f>
        <v/>
      </c>
      <c r="F70" s="48">
        <f>IF(E70&gt;0,"Đã có dữ liệu","Chưa có dữ liệu")</f>
        <v/>
      </c>
      <c r="G70" s="49" t="inlineStr">
        <is>
          <t>https://utehy.edu.vn/</t>
        </is>
      </c>
      <c r="H70" s="49" t="inlineStr">
        <is>
          <t>https://tuyensinh.utehy.edu.vn/</t>
        </is>
      </c>
      <c r="I70" s="50" t="n"/>
    </row>
    <row r="71" outlineLevel="1" ht="15" customHeight="1" s="35">
      <c r="A71" s="42" t="inlineStr">
        <is>
          <t>Bắc Ninh</t>
        </is>
      </c>
      <c r="B71" s="43">
        <f>COUNTA(A72:A72)</f>
        <v/>
      </c>
      <c r="C71" s="44" t="n"/>
      <c r="D71" s="44" t="n"/>
      <c r="E71" s="44" t="n"/>
      <c r="F71" s="44" t="n"/>
      <c r="G71" s="44" t="n"/>
      <c r="H71" s="44" t="n"/>
      <c r="I71" s="44" t="n"/>
    </row>
    <row r="72" outlineLevel="2" ht="15" customHeight="1" s="35">
      <c r="A72" s="45" t="inlineStr">
        <is>
          <t>Trường Đại học Chính trị (Trường Sĩ quan Chính trị)</t>
        </is>
      </c>
      <c r="B72" s="46" t="n"/>
      <c r="C72" s="47" t="inlineStr">
        <is>
          <t>Bắc Ninh</t>
        </is>
      </c>
      <c r="D72" s="47" t="n"/>
      <c r="E72" s="48">
        <f>COUNTA('SQ Chính trị'!$B$11:$B$500)</f>
        <v/>
      </c>
      <c r="F72" s="48">
        <f>IF(E72&gt;0,"Đã có dữ liệu","Chưa có dữ liệu")</f>
        <v/>
      </c>
      <c r="G72" s="49" t="inlineStr">
        <is>
          <t>https://hocvienchinhtri.edu.vn/</t>
        </is>
      </c>
      <c r="H72" s="47" t="inlineStr">
        <is>
          <t>Trang tuyển sinh quân sự</t>
        </is>
      </c>
      <c r="I72" s="50" t="inlineStr">
        <is>
          <t>Địa điểm chưa đối chiếu nguồn - cần xác minh.</t>
        </is>
      </c>
    </row>
    <row r="73" outlineLevel="1" ht="15" customHeight="1" s="35">
      <c r="A73" s="42" t="inlineStr">
        <is>
          <t>Phú Thọ</t>
        </is>
      </c>
      <c r="B73" s="43">
        <f>COUNTA(A74:A74)</f>
        <v/>
      </c>
      <c r="C73" s="44" t="n"/>
      <c r="D73" s="44" t="n"/>
      <c r="E73" s="44" t="n"/>
      <c r="F73" s="44" t="n"/>
      <c r="G73" s="44" t="n"/>
      <c r="H73" s="44" t="n"/>
      <c r="I73" s="44" t="n"/>
    </row>
    <row r="74" outlineLevel="2" ht="15" customHeight="1" s="35">
      <c r="A74" s="45" t="inlineStr">
        <is>
          <t>Trường Sĩ quan Tăng thiết giáp</t>
        </is>
      </c>
      <c r="B74" s="46" t="n"/>
      <c r="C74" s="47" t="inlineStr">
        <is>
          <t>Vĩnh Phúc</t>
        </is>
      </c>
      <c r="D74" s="47" t="n"/>
      <c r="E74" s="48">
        <f>COUNTA('SQ Tăng thiết giáp'!$B$11:$B$500)</f>
        <v/>
      </c>
      <c r="F74" s="48">
        <f>IF(E74&gt;0,"Đã có dữ liệu","Chưa có dữ liệu")</f>
        <v/>
      </c>
      <c r="G74" s="49" t="inlineStr">
        <is>
          <t>https://truongttg.edu.vn/</t>
        </is>
      </c>
      <c r="H74" s="47" t="inlineStr">
        <is>
          <t>Trang tuyển sinh quân sự</t>
        </is>
      </c>
      <c r="I74" s="50" t="n"/>
    </row>
    <row r="75" ht="15" customHeight="1" s="35">
      <c r="A75" s="51" t="inlineStr">
        <is>
          <t>MIỀN TRUNG</t>
        </is>
      </c>
      <c r="B75" s="52">
        <f>B76+B78+B80+B89+B97+B102+B104+B106</f>
        <v/>
      </c>
      <c r="C75" s="53" t="n"/>
      <c r="D75" s="53" t="n"/>
      <c r="E75" s="53" t="n"/>
      <c r="F75" s="53" t="n"/>
      <c r="G75" s="53" t="n"/>
      <c r="H75" s="53" t="n"/>
      <c r="I75" s="53" t="n"/>
    </row>
    <row r="76" outlineLevel="1" ht="15" customHeight="1" s="35">
      <c r="A76" s="42" t="inlineStr">
        <is>
          <t>Thanh Hóa</t>
        </is>
      </c>
      <c r="B76" s="43">
        <f>COUNTA(A77:A77)</f>
        <v/>
      </c>
      <c r="C76" s="44" t="n"/>
      <c r="D76" s="44" t="n"/>
      <c r="E76" s="44" t="n"/>
      <c r="F76" s="44" t="n"/>
      <c r="G76" s="44" t="n"/>
      <c r="H76" s="44" t="n"/>
      <c r="I76" s="44" t="n"/>
    </row>
    <row r="77" outlineLevel="2" ht="15" customHeight="1" s="35">
      <c r="A77" s="45" t="inlineStr">
        <is>
          <t>Trường Đại học Hồng Đức</t>
        </is>
      </c>
      <c r="B77" s="46" t="n"/>
      <c r="C77" s="47" t="inlineStr">
        <is>
          <t>Thanh Hóa</t>
        </is>
      </c>
      <c r="D77" s="47" t="n"/>
      <c r="E77" s="48">
        <f>COUNTA('ĐH Hồng Đức'!$B$11:$B$500)</f>
        <v/>
      </c>
      <c r="F77" s="48">
        <f>IF(E77&gt;0,"Đã có dữ liệu","Chưa có dữ liệu")</f>
        <v/>
      </c>
      <c r="G77" s="49" t="inlineStr">
        <is>
          <t>https://hdu.edu.vn/</t>
        </is>
      </c>
      <c r="H77" s="49" t="inlineStr">
        <is>
          <t>https://tuyensinh.hdu.edu.vn/</t>
        </is>
      </c>
      <c r="I77" s="50" t="n"/>
    </row>
    <row r="78" outlineLevel="1" ht="15" customHeight="1" s="35">
      <c r="A78" s="42" t="inlineStr">
        <is>
          <t>Nghệ An</t>
        </is>
      </c>
      <c r="B78" s="43">
        <f>COUNTA(A79:A79)</f>
        <v/>
      </c>
      <c r="C78" s="44" t="n"/>
      <c r="D78" s="44" t="n"/>
      <c r="E78" s="44" t="n"/>
      <c r="F78" s="44" t="n"/>
      <c r="G78" s="44" t="n"/>
      <c r="H78" s="44" t="n"/>
      <c r="I78" s="44" t="n"/>
    </row>
    <row r="79" outlineLevel="2" ht="15" customHeight="1" s="35">
      <c r="A79" s="45" t="inlineStr">
        <is>
          <t>Trường Đại học Vinh</t>
        </is>
      </c>
      <c r="B79" s="46" t="n"/>
      <c r="C79" s="47" t="inlineStr">
        <is>
          <t>Nghệ An</t>
        </is>
      </c>
      <c r="D79" s="47" t="n"/>
      <c r="E79" s="48">
        <f>COUNTA('ĐH Vinh'!$B$11:$B$500)</f>
        <v/>
      </c>
      <c r="F79" s="48">
        <f>IF(E79&gt;0,"Đã có dữ liệu","Chưa có dữ liệu")</f>
        <v/>
      </c>
      <c r="G79" s="49" t="inlineStr">
        <is>
          <t>https://vinhuni.edu.vn/</t>
        </is>
      </c>
      <c r="H79" s="49" t="inlineStr">
        <is>
          <t>https://tuyensinh.vinhuni.edu.vn/</t>
        </is>
      </c>
      <c r="I79" s="50" t="n"/>
    </row>
    <row r="80" outlineLevel="1" ht="15" customHeight="1" s="35">
      <c r="A80" s="42" t="inlineStr">
        <is>
          <t>Huế</t>
        </is>
      </c>
      <c r="B80" s="43">
        <f>COUNTA(A81:A88)</f>
        <v/>
      </c>
      <c r="C80" s="44" t="n"/>
      <c r="D80" s="44" t="n"/>
      <c r="E80" s="44" t="n"/>
      <c r="F80" s="44" t="n"/>
      <c r="G80" s="44" t="n"/>
      <c r="H80" s="44" t="n"/>
      <c r="I80" s="44" t="n"/>
    </row>
    <row r="81" outlineLevel="2" ht="15" customHeight="1" s="35">
      <c r="A81" s="45" t="inlineStr">
        <is>
          <t>Trường Đại học Khoa học - Đại học Huế</t>
        </is>
      </c>
      <c r="B81" s="46" t="n"/>
      <c r="C81" s="47" t="inlineStr">
        <is>
          <t>Thừa Thiên Huế</t>
        </is>
      </c>
      <c r="D81" s="47" t="n"/>
      <c r="E81" s="48">
        <f>COUNTA(HUSC!$B$11:$B$500)</f>
        <v/>
      </c>
      <c r="F81" s="48">
        <f>IF(E81&gt;0,"Đã có dữ liệu","Chưa có dữ liệu")</f>
        <v/>
      </c>
      <c r="G81" s="49" t="inlineStr">
        <is>
          <t>https://husc.edu.vn/</t>
        </is>
      </c>
      <c r="H81" s="49" t="inlineStr">
        <is>
          <t>https://tuyensinh.husc.edu.vn/</t>
        </is>
      </c>
      <c r="I81" s="50" t="n"/>
    </row>
    <row r="82" outlineLevel="2" ht="15" customHeight="1" s="35">
      <c r="A82" s="45" t="inlineStr">
        <is>
          <t>Trường Đại học Kinh tế - Đại học Huế</t>
        </is>
      </c>
      <c r="B82" s="46" t="n"/>
      <c r="C82" s="47" t="inlineStr">
        <is>
          <t>Thừa Thiên Huế</t>
        </is>
      </c>
      <c r="D82" s="47" t="n"/>
      <c r="E82" s="48">
        <f>COUNTA(HCE!$B$11:$B$500)</f>
        <v/>
      </c>
      <c r="F82" s="48">
        <f>IF(E82&gt;0,"Đã có dữ liệu","Chưa có dữ liệu")</f>
        <v/>
      </c>
      <c r="G82" s="49" t="inlineStr">
        <is>
          <t>https://hce.edu.vn/</t>
        </is>
      </c>
      <c r="H82" s="49" t="inlineStr">
        <is>
          <t>https://tuyensinh.hce.edu.vn/</t>
        </is>
      </c>
      <c r="I82" s="50" t="n"/>
    </row>
    <row r="83" outlineLevel="2" ht="15" customHeight="1" s="35">
      <c r="A83" s="45" t="inlineStr">
        <is>
          <t>Trường Đại học Luật - Đại học Huế</t>
        </is>
      </c>
      <c r="B83" s="46" t="n"/>
      <c r="C83" s="47" t="inlineStr">
        <is>
          <t>Thừa Thiên Huế</t>
        </is>
      </c>
      <c r="D83" s="47" t="n"/>
      <c r="E83" s="48">
        <f>COUNTA(HUL!$B$11:$B$500)</f>
        <v/>
      </c>
      <c r="F83" s="48">
        <f>IF(E83&gt;0,"Đã có dữ liệu","Chưa có dữ liệu")</f>
        <v/>
      </c>
      <c r="G83" s="49" t="inlineStr">
        <is>
          <t>https://hul.edu.vn/</t>
        </is>
      </c>
      <c r="H83" s="49" t="inlineStr">
        <is>
          <t>https://tuyensinh.hul.edu.vn/</t>
        </is>
      </c>
      <c r="I83" s="50" t="n"/>
    </row>
    <row r="84" outlineLevel="2" ht="15" customHeight="1" s="35">
      <c r="A84" s="45" t="inlineStr">
        <is>
          <t>Trường Đại học Sư phạm - Đại học Huế</t>
        </is>
      </c>
      <c r="B84" s="46" t="n"/>
      <c r="C84" s="47" t="inlineStr">
        <is>
          <t>Thừa Thiên Huế</t>
        </is>
      </c>
      <c r="D84" s="47" t="n"/>
      <c r="E84" s="48">
        <f>COUNTA('ĐHSP Huế'!$B$11:$B$500)</f>
        <v/>
      </c>
      <c r="F84" s="48">
        <f>IF(E84&gt;0,"Đã có dữ liệu","Chưa có dữ liệu")</f>
        <v/>
      </c>
      <c r="G84" s="49" t="inlineStr">
        <is>
          <t>https://dhsphue.edu.vn/</t>
        </is>
      </c>
      <c r="H84" s="49" t="inlineStr">
        <is>
          <t>https://tuyensinh.dhsphue.edu.vn/</t>
        </is>
      </c>
      <c r="I84" s="50" t="n"/>
    </row>
    <row r="85" outlineLevel="2" ht="15" customHeight="1" s="35">
      <c r="A85" s="45" t="inlineStr">
        <is>
          <t>Trường Đại học Y - Dược - Đại học Huế</t>
        </is>
      </c>
      <c r="B85" s="46" t="n"/>
      <c r="C85" s="47" t="inlineStr">
        <is>
          <t>Thừa Thiên Huế</t>
        </is>
      </c>
      <c r="D85" s="47" t="n"/>
      <c r="E85" s="48">
        <f>COUNTA('Y Dược Huế'!$B$11:$B$500)</f>
        <v/>
      </c>
      <c r="F85" s="48">
        <f>IF(E85&gt;0,"Đã có dữ liệu","Chưa có dữ liệu")</f>
        <v/>
      </c>
      <c r="G85" s="49" t="inlineStr">
        <is>
          <t>https://huemed-univ.edu.vn/</t>
        </is>
      </c>
      <c r="H85" s="49" t="inlineStr">
        <is>
          <t>https://tuyensinh.huemed-univ.edu.vn/</t>
        </is>
      </c>
      <c r="I85" s="50" t="n"/>
    </row>
    <row r="86" outlineLevel="2" ht="15" customHeight="1" s="35">
      <c r="A86" s="45" t="inlineStr">
        <is>
          <t>Trường Đại học Nghệ thuật - Đại học Huế</t>
        </is>
      </c>
      <c r="B86" s="46" t="n"/>
      <c r="C86" s="47" t="inlineStr">
        <is>
          <t>Thừa Thiên Huế</t>
        </is>
      </c>
      <c r="D86" s="47" t="n"/>
      <c r="E86" s="48">
        <f>COUNTA('Nghệ thuật Huế'!$B$11:$B$500)</f>
        <v/>
      </c>
      <c r="F86" s="48">
        <f>IF(E86&gt;0,"Đã có dữ liệu","Chưa có dữ liệu")</f>
        <v/>
      </c>
      <c r="G86" s="49" t="inlineStr">
        <is>
          <t>https://hufa.edu.vn/</t>
        </is>
      </c>
      <c r="H86" s="49" t="inlineStr">
        <is>
          <t>https://tuyensinh.hufa.edu.vn/</t>
        </is>
      </c>
      <c r="I86" s="50" t="n"/>
    </row>
    <row r="87" outlineLevel="2" ht="15" customHeight="1" s="35">
      <c r="A87" s="45" t="inlineStr">
        <is>
          <t>Trường Du lịch - Đại học Huế</t>
        </is>
      </c>
      <c r="B87" s="46" t="n"/>
      <c r="C87" s="47" t="inlineStr">
        <is>
          <t>Thừa Thiên Huế</t>
        </is>
      </c>
      <c r="D87" s="47" t="n"/>
      <c r="E87" s="48">
        <f>COUNTA('Du lịch Huế'!$B$11:$B$500)</f>
        <v/>
      </c>
      <c r="F87" s="48">
        <f>IF(E87&gt;0,"Đã có dữ liệu","Chưa có dữ liệu")</f>
        <v/>
      </c>
      <c r="G87" s="49" t="inlineStr">
        <is>
          <t>https://huht.edu.vn/</t>
        </is>
      </c>
      <c r="H87" s="49" t="inlineStr">
        <is>
          <t>https://tuyensinh.huht.edu.vn/</t>
        </is>
      </c>
      <c r="I87" s="50" t="n"/>
    </row>
    <row r="88" outlineLevel="2" ht="15" customHeight="1" s="35">
      <c r="A88" s="45" t="inlineStr">
        <is>
          <t>Trường Đại học Nông Lâm - Đại học Huế</t>
        </is>
      </c>
      <c r="B88" s="46" t="n"/>
      <c r="C88" s="47" t="inlineStr">
        <is>
          <t>Thừa Thiên Huế</t>
        </is>
      </c>
      <c r="D88" s="47" t="n"/>
      <c r="E88" s="48">
        <f>COUNTA('Nông Lâm Huế'!$B$11:$B$500)</f>
        <v/>
      </c>
      <c r="F88" s="48">
        <f>IF(E88&gt;0,"Đã có dữ liệu","Chưa có dữ liệu")</f>
        <v/>
      </c>
      <c r="G88" s="49" t="inlineStr">
        <is>
          <t>https://huaf.edu.vn/</t>
        </is>
      </c>
      <c r="H88" s="49" t="inlineStr">
        <is>
          <t>https://tuyensinh.huaf.edu.vn/</t>
        </is>
      </c>
      <c r="I88" s="50" t="n"/>
    </row>
    <row r="89" outlineLevel="1" ht="15" customHeight="1" s="35">
      <c r="A89" s="42" t="inlineStr">
        <is>
          <t>Đà Nẵng</t>
        </is>
      </c>
      <c r="B89" s="43">
        <f>COUNTA(A90:A96)</f>
        <v/>
      </c>
      <c r="C89" s="44" t="n"/>
      <c r="D89" s="44" t="n"/>
      <c r="E89" s="44" t="n"/>
      <c r="F89" s="44" t="n"/>
      <c r="G89" s="44" t="n"/>
      <c r="H89" s="44" t="n"/>
      <c r="I89" s="44" t="n"/>
    </row>
    <row r="90" outlineLevel="2" ht="15" customHeight="1" s="35">
      <c r="A90" s="45" t="inlineStr">
        <is>
          <t>Trường Đại học Bách khoa - Đại học Đà Nẵng (DUT)</t>
        </is>
      </c>
      <c r="B90" s="46" t="n"/>
      <c r="C90" s="47" t="inlineStr">
        <is>
          <t>Đà Nẵng</t>
        </is>
      </c>
      <c r="D90" s="47" t="inlineStr">
        <is>
          <t>DUT</t>
        </is>
      </c>
      <c r="E90" s="48">
        <f>COUNTA(DUT!$B$11:$B$500)</f>
        <v/>
      </c>
      <c r="F90" s="48">
        <f>IF(E90&gt;0,"Đã có dữ liệu","Chưa có dữ liệu")</f>
        <v/>
      </c>
      <c r="G90" s="49" t="inlineStr">
        <is>
          <t>https://dut.udn.vn/</t>
        </is>
      </c>
      <c r="H90" s="49" t="inlineStr">
        <is>
          <t>https://tuyensinh.dut.udn.vn/</t>
        </is>
      </c>
      <c r="I90" s="50" t="n"/>
    </row>
    <row r="91" outlineLevel="2" ht="15" customHeight="1" s="35">
      <c r="A91" s="45" t="inlineStr">
        <is>
          <t>Trường Đại học Kinh tế - Đại học Đà Nẵng (DUE)</t>
        </is>
      </c>
      <c r="B91" s="46" t="n"/>
      <c r="C91" s="47" t="inlineStr">
        <is>
          <t>Đà Nẵng</t>
        </is>
      </c>
      <c r="D91" s="47" t="inlineStr">
        <is>
          <t>DUE</t>
        </is>
      </c>
      <c r="E91" s="48">
        <f>COUNTA(DUE!$B$11:$B$500)</f>
        <v/>
      </c>
      <c r="F91" s="48">
        <f>IF(E91&gt;0,"Đã có dữ liệu","Chưa có dữ liệu")</f>
        <v/>
      </c>
      <c r="G91" s="49" t="inlineStr">
        <is>
          <t>https://due.udn.vn/</t>
        </is>
      </c>
      <c r="H91" s="49" t="inlineStr">
        <is>
          <t>https://tuyensinh.due.udn.vn/</t>
        </is>
      </c>
      <c r="I91" s="50" t="n"/>
    </row>
    <row r="92" outlineLevel="2" ht="15" customHeight="1" s="35">
      <c r="A92" s="45" t="inlineStr">
        <is>
          <t>Trường Đại học Sư phạm - Đại học Đà Nẵng</t>
        </is>
      </c>
      <c r="B92" s="46" t="n"/>
      <c r="C92" s="47" t="inlineStr">
        <is>
          <t>Đà Nẵng</t>
        </is>
      </c>
      <c r="D92" s="47" t="n"/>
      <c r="E92" s="48">
        <f>COUNTA('ĐHSP Đà Nẵng'!$B$11:$B$500)</f>
        <v/>
      </c>
      <c r="F92" s="48">
        <f>IF(E92&gt;0,"Đã có dữ liệu","Chưa có dữ liệu")</f>
        <v/>
      </c>
      <c r="G92" s="49" t="inlineStr">
        <is>
          <t>https://ued.udn.vn/</t>
        </is>
      </c>
      <c r="H92" s="49" t="inlineStr">
        <is>
          <t>https://tuyensinh.ued.udn.vn/</t>
        </is>
      </c>
      <c r="I92" s="50" t="n"/>
    </row>
    <row r="93" outlineLevel="2" ht="15" customHeight="1" s="35">
      <c r="A93" s="45" t="inlineStr">
        <is>
          <t>Trường Đại học Y Dược - Đại học Đà Nẵng</t>
        </is>
      </c>
      <c r="B93" s="46" t="n"/>
      <c r="C93" s="47" t="inlineStr">
        <is>
          <t>Đà Nẵng</t>
        </is>
      </c>
      <c r="D93" s="47" t="n"/>
      <c r="E93" s="48">
        <f>COUNTA('Y Dược ĐH Đà Nẵng'!$B$11:$B$500)</f>
        <v/>
      </c>
      <c r="F93" s="48">
        <f>IF(E93&gt;0,"Đã có dữ liệu","Chưa có dữ liệu")</f>
        <v/>
      </c>
      <c r="G93" s="49" t="inlineStr">
        <is>
          <t>https://ump.udn.vn/</t>
        </is>
      </c>
      <c r="H93" s="49" t="inlineStr">
        <is>
          <t>https://tuyensinh.ump.udn.vn/</t>
        </is>
      </c>
      <c r="I93" s="50" t="n"/>
    </row>
    <row r="94" outlineLevel="2" ht="15" customHeight="1" s="35">
      <c r="A94" s="45" t="inlineStr">
        <is>
          <t>Trường Đại học Ngoại ngữ - Đại học Đà Nẵng</t>
        </is>
      </c>
      <c r="B94" s="46" t="n"/>
      <c r="C94" s="47" t="inlineStr">
        <is>
          <t>Đà Nẵng</t>
        </is>
      </c>
      <c r="D94" s="47" t="n"/>
      <c r="E94" s="48">
        <f>COUNTA('UFL ĐH Đà Nẵng'!$B$11:$B$500)</f>
        <v/>
      </c>
      <c r="F94" s="48">
        <f>IF(E94&gt;0,"Đã có dữ liệu","Chưa có dữ liệu")</f>
        <v/>
      </c>
      <c r="G94" s="49" t="inlineStr">
        <is>
          <t>https://ufl.udn.vn/</t>
        </is>
      </c>
      <c r="H94" s="49" t="inlineStr">
        <is>
          <t>https://tuyensinh.ufl.udn.vn/</t>
        </is>
      </c>
      <c r="I94" s="50" t="n"/>
    </row>
    <row r="95" outlineLevel="2" ht="15" customHeight="1" s="35">
      <c r="A95" s="45" t="inlineStr">
        <is>
          <t>Trường Đại học Duy Tân (DTU)</t>
        </is>
      </c>
      <c r="B95" s="46" t="n"/>
      <c r="C95" s="47" t="inlineStr">
        <is>
          <t>Đà Nẵng</t>
        </is>
      </c>
      <c r="D95" s="47" t="inlineStr">
        <is>
          <t>DTU</t>
        </is>
      </c>
      <c r="E95" s="48">
        <f>COUNTA(DTU!$B$11:$B$500)</f>
        <v/>
      </c>
      <c r="F95" s="48">
        <f>IF(E95&gt;0,"Đã có dữ liệu","Chưa có dữ liệu")</f>
        <v/>
      </c>
      <c r="G95" s="49" t="inlineStr">
        <is>
          <t>https://duytan.edu.vn/</t>
        </is>
      </c>
      <c r="H95" s="49" t="inlineStr">
        <is>
          <t>https://tuyensinh.duytan.edu.vn/</t>
        </is>
      </c>
      <c r="I95" s="50" t="n"/>
    </row>
    <row r="96" outlineLevel="2" ht="15" customHeight="1" s="35">
      <c r="A96" s="45" t="inlineStr">
        <is>
          <t>Trường Đại học Đông Á</t>
        </is>
      </c>
      <c r="B96" s="46" t="n"/>
      <c r="C96" s="47" t="inlineStr">
        <is>
          <t>Đà Nẵng</t>
        </is>
      </c>
      <c r="D96" s="47" t="n"/>
      <c r="E96" s="48">
        <f>COUNTA('ĐH Đông Á'!$B$11:$B$500)</f>
        <v/>
      </c>
      <c r="F96" s="48">
        <f>IF(E96&gt;0,"Đã có dữ liệu","Chưa có dữ liệu")</f>
        <v/>
      </c>
      <c r="G96" s="49" t="inlineStr">
        <is>
          <t>https://donga.edu.vn/</t>
        </is>
      </c>
      <c r="H96" s="49" t="inlineStr">
        <is>
          <t>https://tuyensinh.donga.edu.vn/</t>
        </is>
      </c>
      <c r="I96" s="50" t="n"/>
    </row>
    <row r="97" outlineLevel="1" ht="15" customHeight="1" s="35">
      <c r="A97" s="42" t="inlineStr">
        <is>
          <t>Khánh Hòa</t>
        </is>
      </c>
      <c r="B97" s="43">
        <f>COUNTA(A98:A101)</f>
        <v/>
      </c>
      <c r="C97" s="44" t="n"/>
      <c r="D97" s="44" t="n"/>
      <c r="E97" s="44" t="n"/>
      <c r="F97" s="44" t="n"/>
      <c r="G97" s="44" t="n"/>
      <c r="H97" s="44" t="n"/>
      <c r="I97" s="44" t="n"/>
    </row>
    <row r="98" outlineLevel="2" ht="15" customHeight="1" s="35">
      <c r="A98" s="45" t="inlineStr">
        <is>
          <t>Trường Đại học Nha Trang</t>
        </is>
      </c>
      <c r="B98" s="46" t="n"/>
      <c r="C98" s="47" t="inlineStr">
        <is>
          <t>Khánh Hòa</t>
        </is>
      </c>
      <c r="D98" s="47" t="n"/>
      <c r="E98" s="48">
        <f>COUNTA(NTU!$B$11:$B$500)</f>
        <v/>
      </c>
      <c r="F98" s="48">
        <f>IF(E98&gt;0,"Đã có dữ liệu","Chưa có dữ liệu")</f>
        <v/>
      </c>
      <c r="G98" s="49" t="inlineStr">
        <is>
          <t>https://ntu.edu.vn/</t>
        </is>
      </c>
      <c r="H98" s="49" t="inlineStr">
        <is>
          <t>https://tuyensinh.ntu.edu.vn/</t>
        </is>
      </c>
      <c r="I98" s="50" t="n"/>
    </row>
    <row r="99" outlineLevel="2" ht="15" customHeight="1" s="35">
      <c r="A99" s="45" t="inlineStr">
        <is>
          <t>Học viện Hải quân</t>
        </is>
      </c>
      <c r="B99" s="46" t="n"/>
      <c r="C99" s="47" t="inlineStr">
        <is>
          <t>Khánh Hòa</t>
        </is>
      </c>
      <c r="D99" s="47" t="n"/>
      <c r="E99" s="48">
        <f>COUNTA('HV Hải quân'!$B$11:$B$500)</f>
        <v/>
      </c>
      <c r="F99" s="48">
        <f>IF(E99&gt;0,"Đã có dữ liệu","Chưa có dữ liệu")</f>
        <v/>
      </c>
      <c r="G99" s="49" t="inlineStr">
        <is>
          <t>https://hocvienhaiquan.edu.vn/</t>
        </is>
      </c>
      <c r="H99" s="47" t="inlineStr">
        <is>
          <t>Trang tuyển sinh quân sự</t>
        </is>
      </c>
      <c r="I99" s="50" t="n"/>
    </row>
    <row r="100" outlineLevel="2" ht="15" customHeight="1" s="35">
      <c r="A100" s="45" t="inlineStr">
        <is>
          <t>Trường Sĩ quan Thông tin (Đại học Thông tin liên lạc)</t>
        </is>
      </c>
      <c r="B100" s="46" t="n"/>
      <c r="C100" s="47" t="inlineStr">
        <is>
          <t>Khánh Hòa</t>
        </is>
      </c>
      <c r="D100" s="47" t="n"/>
      <c r="E100" s="48">
        <f>COUNTA('SQ Thông tin'!$B$11:$B$500)</f>
        <v/>
      </c>
      <c r="F100" s="48">
        <f>IF(E100&gt;0,"Đã có dữ liệu","Chưa có dữ liệu")</f>
        <v/>
      </c>
      <c r="G100" s="49" t="inlineStr">
        <is>
          <t>https://truongthongtin.edu.vn/</t>
        </is>
      </c>
      <c r="H100" s="47" t="inlineStr">
        <is>
          <t>Trang tuyển sinh quân sự</t>
        </is>
      </c>
      <c r="I100" s="50" t="n"/>
    </row>
    <row r="101" outlineLevel="2" ht="15" customHeight="1" s="35">
      <c r="A101" s="45" t="inlineStr">
        <is>
          <t>Trường Sĩ quan Không quân</t>
        </is>
      </c>
      <c r="B101" s="46" t="n"/>
      <c r="C101" s="47" t="inlineStr">
        <is>
          <t>Khánh Hòa</t>
        </is>
      </c>
      <c r="D101" s="47" t="n"/>
      <c r="E101" s="48">
        <f>COUNTA('SQ Không quân'!$B$11:$B$500)</f>
        <v/>
      </c>
      <c r="F101" s="48">
        <f>IF(E101&gt;0,"Đã có dữ liệu","Chưa có dữ liệu")</f>
        <v/>
      </c>
      <c r="G101" s="49" t="inlineStr">
        <is>
          <t>https://truongkhongquan.edu.vn/</t>
        </is>
      </c>
      <c r="H101" s="47" t="inlineStr">
        <is>
          <t>Trang tuyển sinh quân sự</t>
        </is>
      </c>
      <c r="I101" s="50" t="n"/>
    </row>
    <row r="102" outlineLevel="1" ht="15" customHeight="1" s="35">
      <c r="A102" s="42" t="inlineStr">
        <is>
          <t>Gia Lai</t>
        </is>
      </c>
      <c r="B102" s="43">
        <f>COUNTA(A103:A103)</f>
        <v/>
      </c>
      <c r="C102" s="44" t="n"/>
      <c r="D102" s="44" t="n"/>
      <c r="E102" s="44" t="n"/>
      <c r="F102" s="44" t="n"/>
      <c r="G102" s="44" t="n"/>
      <c r="H102" s="44" t="n"/>
      <c r="I102" s="44" t="n"/>
    </row>
    <row r="103" outlineLevel="2" ht="15" customHeight="1" s="35">
      <c r="A103" s="45" t="inlineStr">
        <is>
          <t>Trường Đại học Quy Nhơn</t>
        </is>
      </c>
      <c r="B103" s="46" t="n"/>
      <c r="C103" s="47" t="inlineStr">
        <is>
          <t>Bình Định</t>
        </is>
      </c>
      <c r="D103" s="47" t="n"/>
      <c r="E103" s="48">
        <f>COUNTA(QNU!$B$11:$B$500)</f>
        <v/>
      </c>
      <c r="F103" s="48">
        <f>IF(E103&gt;0,"Đã có dữ liệu","Chưa có dữ liệu")</f>
        <v/>
      </c>
      <c r="G103" s="49" t="inlineStr">
        <is>
          <t>https://qnu.edu.vn/</t>
        </is>
      </c>
      <c r="H103" s="49" t="inlineStr">
        <is>
          <t>https://tuyensinh.qnu.edu.vn/</t>
        </is>
      </c>
      <c r="I103" s="50" t="n"/>
    </row>
    <row r="104" outlineLevel="1" ht="15" customHeight="1" s="35">
      <c r="A104" s="42" t="inlineStr">
        <is>
          <t>Lâm Đồng</t>
        </is>
      </c>
      <c r="B104" s="43">
        <f>COUNTA(A105:A105)</f>
        <v/>
      </c>
      <c r="C104" s="44" t="n"/>
      <c r="D104" s="44" t="n"/>
      <c r="E104" s="44" t="n"/>
      <c r="F104" s="44" t="n"/>
      <c r="G104" s="44" t="n"/>
      <c r="H104" s="44" t="n"/>
      <c r="I104" s="44" t="n"/>
    </row>
    <row r="105" outlineLevel="2" ht="15" customHeight="1" s="35">
      <c r="A105" s="45" t="inlineStr">
        <is>
          <t>Trường Đại học Đà Lạt</t>
        </is>
      </c>
      <c r="B105" s="46" t="n"/>
      <c r="C105" s="47" t="inlineStr">
        <is>
          <t>Lâm Đồng</t>
        </is>
      </c>
      <c r="D105" s="47" t="n"/>
      <c r="E105" s="48">
        <f>COUNTA(DLU!$B$11:$B$500)</f>
        <v/>
      </c>
      <c r="F105" s="48">
        <f>IF(E105&gt;0,"Đã có dữ liệu","Chưa có dữ liệu")</f>
        <v/>
      </c>
      <c r="G105" s="49" t="inlineStr">
        <is>
          <t>https://dlu.edu.vn/</t>
        </is>
      </c>
      <c r="H105" s="49" t="inlineStr">
        <is>
          <t>https://tuyensinh.dlu.edu.vn/</t>
        </is>
      </c>
      <c r="I105" s="50" t="n"/>
    </row>
    <row r="106" outlineLevel="1" ht="15" customHeight="1" s="35">
      <c r="A106" s="42" t="inlineStr">
        <is>
          <t>Đắk Lắk</t>
        </is>
      </c>
      <c r="B106" s="43">
        <f>COUNTA(A107:A107)</f>
        <v/>
      </c>
      <c r="C106" s="44" t="n"/>
      <c r="D106" s="44" t="n"/>
      <c r="E106" s="44" t="n"/>
      <c r="F106" s="44" t="n"/>
      <c r="G106" s="44" t="n"/>
      <c r="H106" s="44" t="n"/>
      <c r="I106" s="44" t="n"/>
    </row>
    <row r="107" outlineLevel="2" ht="15" customHeight="1" s="35">
      <c r="A107" s="45" t="inlineStr">
        <is>
          <t>Trường Đại học Tây Nguyên</t>
        </is>
      </c>
      <c r="B107" s="46" t="n"/>
      <c r="C107" s="47" t="inlineStr">
        <is>
          <t>Đắk Lắk</t>
        </is>
      </c>
      <c r="D107" s="47" t="n"/>
      <c r="E107" s="48">
        <f>COUNTA('ĐH Tây Nguyên'!$B$11:$B$500)</f>
        <v/>
      </c>
      <c r="F107" s="48">
        <f>IF(E107&gt;0,"Đã có dữ liệu","Chưa có dữ liệu")</f>
        <v/>
      </c>
      <c r="G107" s="49" t="inlineStr">
        <is>
          <t>https://ttn.edu.vn/</t>
        </is>
      </c>
      <c r="H107" s="49" t="inlineStr">
        <is>
          <t>https://tuyensinh.ttn.edu.vn/</t>
        </is>
      </c>
      <c r="I107" s="50" t="n"/>
    </row>
    <row r="108" ht="15" customHeight="1" s="35">
      <c r="A108" s="54" t="inlineStr">
        <is>
          <t>MIỀN NAM</t>
        </is>
      </c>
      <c r="B108" s="55">
        <f>B109+B144+B147</f>
        <v/>
      </c>
      <c r="C108" s="56" t="n"/>
      <c r="D108" s="56" t="n"/>
      <c r="E108" s="56" t="n"/>
      <c r="F108" s="56" t="n"/>
      <c r="G108" s="56" t="n"/>
      <c r="H108" s="56" t="n"/>
      <c r="I108" s="56" t="n"/>
    </row>
    <row r="109" outlineLevel="1" ht="15" customHeight="1" s="35">
      <c r="A109" s="42" t="inlineStr">
        <is>
          <t>TP. Hồ Chí Minh</t>
        </is>
      </c>
      <c r="B109" s="43">
        <f>COUNTA(A110:A143)</f>
        <v/>
      </c>
      <c r="C109" s="44" t="n"/>
      <c r="D109" s="44" t="n"/>
      <c r="E109" s="44" t="n"/>
      <c r="F109" s="44" t="n"/>
      <c r="G109" s="44" t="n"/>
      <c r="H109" s="44" t="n"/>
      <c r="I109" s="44" t="n"/>
    </row>
    <row r="110" outlineLevel="2" ht="15" customHeight="1" s="35">
      <c r="A110" s="45" t="inlineStr">
        <is>
          <t>Trường Đại học Bách khoa - ĐHQG TP.HCM (HCMUT)</t>
        </is>
      </c>
      <c r="B110" s="46" t="n"/>
      <c r="C110" s="47" t="inlineStr">
        <is>
          <t>TP. Hồ Chí Minh</t>
        </is>
      </c>
      <c r="D110" s="47" t="inlineStr">
        <is>
          <t>HCMUT</t>
        </is>
      </c>
      <c r="E110" s="48">
        <f>COUNTA(HCMUT!$B$11:$B$500)</f>
        <v/>
      </c>
      <c r="F110" s="48">
        <f>IF(E110&gt;0,"Đã có dữ liệu","Chưa có dữ liệu")</f>
        <v/>
      </c>
      <c r="G110" s="49" t="inlineStr">
        <is>
          <t>https://hcmut.edu.vn/</t>
        </is>
      </c>
      <c r="H110" s="49" t="inlineStr">
        <is>
          <t>https://tuyensinh.hcmut.edu.vn/ hoặc https://mybk.hcmut.edu.vn/tuyensinh/</t>
        </is>
      </c>
      <c r="I110" s="50" t="n"/>
    </row>
    <row r="111" outlineLevel="2" ht="15" customHeight="1" s="35">
      <c r="A111" s="45" t="inlineStr">
        <is>
          <t>Trường Đại học Khoa học Tự nhiên - ĐHQG TP.HCM (HCMUS)</t>
        </is>
      </c>
      <c r="B111" s="46" t="n"/>
      <c r="C111" s="47" t="inlineStr">
        <is>
          <t>TP. Hồ Chí Minh</t>
        </is>
      </c>
      <c r="D111" s="47" t="inlineStr">
        <is>
          <t>HCMUS</t>
        </is>
      </c>
      <c r="E111" s="48">
        <f>COUNTA(HCMUS!$B$11:$B$500)</f>
        <v/>
      </c>
      <c r="F111" s="48">
        <f>IF(E111&gt;0,"Đã có dữ liệu","Chưa có dữ liệu")</f>
        <v/>
      </c>
      <c r="G111" s="49" t="inlineStr">
        <is>
          <t>https://hcmus.edu.vn/</t>
        </is>
      </c>
      <c r="H111" s="49" t="inlineStr">
        <is>
          <t>https://tuyensinh.hcmus.edu.vn/</t>
        </is>
      </c>
      <c r="I111" s="50" t="n"/>
    </row>
    <row r="112" outlineLevel="2" ht="15" customHeight="1" s="35">
      <c r="A112" s="45" t="inlineStr">
        <is>
          <t>Trường Đại học Công nghệ Thông tin - ĐHQG TP.HCM (UIT)</t>
        </is>
      </c>
      <c r="B112" s="46" t="n"/>
      <c r="C112" s="47" t="inlineStr">
        <is>
          <t>TP. Hồ Chí Minh</t>
        </is>
      </c>
      <c r="D112" s="47" t="inlineStr">
        <is>
          <t>UIT</t>
        </is>
      </c>
      <c r="E112" s="48">
        <f>COUNTA(UIT!$B$11:$B$500)</f>
        <v/>
      </c>
      <c r="F112" s="48">
        <f>IF(E112&gt;0,"Đã có dữ liệu","Chưa có dữ liệu")</f>
        <v/>
      </c>
      <c r="G112" s="49" t="inlineStr">
        <is>
          <t>https://uit.edu.vn/</t>
        </is>
      </c>
      <c r="H112" s="49" t="inlineStr">
        <is>
          <t>https://tuyensinh.uit.edu.vn/</t>
        </is>
      </c>
      <c r="I112" s="50" t="n"/>
    </row>
    <row r="113" outlineLevel="2" ht="15" customHeight="1" s="35">
      <c r="A113" s="45" t="inlineStr">
        <is>
          <t>Trường Đại học Kinh tế - Luật - ĐHQG TP.HCM (UEL)</t>
        </is>
      </c>
      <c r="B113" s="46" t="n"/>
      <c r="C113" s="47" t="inlineStr">
        <is>
          <t>TP. Hồ Chí Minh</t>
        </is>
      </c>
      <c r="D113" s="47" t="inlineStr">
        <is>
          <t>UEL</t>
        </is>
      </c>
      <c r="E113" s="48">
        <f>COUNTA(UEL!$B$11:$B$500)</f>
        <v/>
      </c>
      <c r="F113" s="48">
        <f>IF(E113&gt;0,"Đã có dữ liệu","Chưa có dữ liệu")</f>
        <v/>
      </c>
      <c r="G113" s="49" t="inlineStr">
        <is>
          <t>https://uel.edu.vn/</t>
        </is>
      </c>
      <c r="H113" s="49" t="inlineStr">
        <is>
          <t>https://tuyensinh.uel.edu.vn/</t>
        </is>
      </c>
      <c r="I113" s="50" t="n"/>
    </row>
    <row r="114" outlineLevel="2" ht="15" customHeight="1" s="35">
      <c r="A114" s="45" t="inlineStr">
        <is>
          <t>Trường Đại học Quốc tế - ĐHQG TP.HCM (IU)</t>
        </is>
      </c>
      <c r="B114" s="46" t="n"/>
      <c r="C114" s="47" t="inlineStr">
        <is>
          <t>TP. Hồ Chí Minh</t>
        </is>
      </c>
      <c r="D114" s="47" t="inlineStr">
        <is>
          <t>IU</t>
        </is>
      </c>
      <c r="E114" s="48">
        <f>COUNTA('IU (HCMIU)'!$B$11:$B$500)</f>
        <v/>
      </c>
      <c r="F114" s="48">
        <f>IF(E114&gt;0,"Đã có dữ liệu","Chưa có dữ liệu")</f>
        <v/>
      </c>
      <c r="G114" s="49" t="inlineStr">
        <is>
          <t>https://hcmiu.edu.vn/</t>
        </is>
      </c>
      <c r="H114" s="49" t="inlineStr">
        <is>
          <t>https://tuyensinh.hcmiu.edu.vn/</t>
        </is>
      </c>
      <c r="I114" s="50" t="n"/>
    </row>
    <row r="115" outlineLevel="2" ht="15" customHeight="1" s="35">
      <c r="A115" s="45" t="inlineStr">
        <is>
          <t>Trường Đại học Khoa học Xã hội và Nhân văn - ĐHQG TP.HCM</t>
        </is>
      </c>
      <c r="B115" s="46" t="n"/>
      <c r="C115" s="47" t="inlineStr">
        <is>
          <t>TP. Hồ Chí Minh</t>
        </is>
      </c>
      <c r="D115" s="47" t="n"/>
      <c r="E115" s="48">
        <f>COUNTA('USSH TP.HCM'!$B$11:$B$500)</f>
        <v/>
      </c>
      <c r="F115" s="48">
        <f>IF(E115&gt;0,"Đã có dữ liệu","Chưa có dữ liệu")</f>
        <v/>
      </c>
      <c r="G115" s="49" t="inlineStr">
        <is>
          <t>https://hcmussh.edu.vn/</t>
        </is>
      </c>
      <c r="H115" s="49" t="inlineStr">
        <is>
          <t>https://tuyensinh.hcmussh.edu.vn/</t>
        </is>
      </c>
      <c r="I115" s="50" t="n"/>
    </row>
    <row r="116" outlineLevel="2" ht="15" customHeight="1" s="35">
      <c r="A116" s="45" t="inlineStr">
        <is>
          <t>Đại học Kinh tế TP.HCM (UEH)</t>
        </is>
      </c>
      <c r="B116" s="46" t="n"/>
      <c r="C116" s="47" t="inlineStr">
        <is>
          <t>TP. Hồ Chí Minh</t>
        </is>
      </c>
      <c r="D116" s="47" t="inlineStr">
        <is>
          <t>UEH</t>
        </is>
      </c>
      <c r="E116" s="48">
        <f>COUNTA(UEH!$B$11:$B$500)</f>
        <v/>
      </c>
      <c r="F116" s="48">
        <f>IF(E116&gt;0,"Đã có dữ liệu","Chưa có dữ liệu")</f>
        <v/>
      </c>
      <c r="G116" s="49" t="inlineStr">
        <is>
          <t>https://ueh.edu.vn/</t>
        </is>
      </c>
      <c r="H116" s="49" t="inlineStr">
        <is>
          <t>https://tuyensinh.ueh.edu.vn/</t>
        </is>
      </c>
      <c r="I116" s="50" t="n"/>
    </row>
    <row r="117" outlineLevel="2" ht="15" customHeight="1" s="35">
      <c r="A117" s="45" t="inlineStr">
        <is>
          <t>Trường Đại học Tôn Đức Thắng (TDTU)</t>
        </is>
      </c>
      <c r="B117" s="46" t="n"/>
      <c r="C117" s="47" t="inlineStr">
        <is>
          <t>TP. Hồ Chí Minh</t>
        </is>
      </c>
      <c r="D117" s="47" t="inlineStr">
        <is>
          <t>TDTU</t>
        </is>
      </c>
      <c r="E117" s="48">
        <f>COUNTA(TDTU!$B$11:$B$500)</f>
        <v/>
      </c>
      <c r="F117" s="48">
        <f>IF(E117&gt;0,"Đã có dữ liệu","Chưa có dữ liệu")</f>
        <v/>
      </c>
      <c r="G117" s="49" t="inlineStr">
        <is>
          <t>https://tdtu.edu.vn/</t>
        </is>
      </c>
      <c r="H117" s="49" t="inlineStr">
        <is>
          <t>https://tuyensinh.tdtu.edu.vn/</t>
        </is>
      </c>
      <c r="I117" s="50" t="n"/>
    </row>
    <row r="118" outlineLevel="2" ht="15" customHeight="1" s="35">
      <c r="A118" s="45" t="inlineStr">
        <is>
          <t>Trường Đại học Sư phạm TP.HCM (HCMUE)</t>
        </is>
      </c>
      <c r="B118" s="46" t="n"/>
      <c r="C118" s="47" t="inlineStr">
        <is>
          <t>TP. Hồ Chí Minh</t>
        </is>
      </c>
      <c r="D118" s="47" t="inlineStr">
        <is>
          <t>HCMUE</t>
        </is>
      </c>
      <c r="E118" s="48">
        <f>COUNTA(HCMUE!$B$11:$B$500)</f>
        <v/>
      </c>
      <c r="F118" s="48">
        <f>IF(E118&gt;0,"Đã có dữ liệu","Chưa có dữ liệu")</f>
        <v/>
      </c>
      <c r="G118" s="49" t="inlineStr">
        <is>
          <t>https://hcmue.edu.vn/</t>
        </is>
      </c>
      <c r="H118" s="49" t="inlineStr">
        <is>
          <t>https://tuyensinh.hcmue.edu.vn/</t>
        </is>
      </c>
      <c r="I118" s="50" t="n"/>
    </row>
    <row r="119" outlineLevel="2" ht="15" customHeight="1" s="35">
      <c r="A119" s="45" t="inlineStr">
        <is>
          <t>Trường Đại học Sư phạm Kỹ thuật TP.HCM (HCMUTE)</t>
        </is>
      </c>
      <c r="B119" s="46" t="n"/>
      <c r="C119" s="47" t="inlineStr">
        <is>
          <t>TP. Hồ Chí Minh</t>
        </is>
      </c>
      <c r="D119" s="47" t="inlineStr">
        <is>
          <t>HCMUTE</t>
        </is>
      </c>
      <c r="E119" s="48">
        <f>COUNTA(HCMUTE!$B$11:$B$500)</f>
        <v/>
      </c>
      <c r="F119" s="48">
        <f>IF(E119&gt;0,"Đã có dữ liệu","Chưa có dữ liệu")</f>
        <v/>
      </c>
      <c r="G119" s="49" t="inlineStr">
        <is>
          <t>https://hcmute.edu.vn/</t>
        </is>
      </c>
      <c r="H119" s="49" t="inlineStr">
        <is>
          <t>https://tuyensinh.hcmute.edu.vn/</t>
        </is>
      </c>
      <c r="I119" s="50" t="n"/>
    </row>
    <row r="120" outlineLevel="2" ht="15" customHeight="1" s="35">
      <c r="A120" s="45" t="inlineStr">
        <is>
          <t>Trường Đại học Công nghiệp TP.HCM (IUH)</t>
        </is>
      </c>
      <c r="B120" s="46" t="n"/>
      <c r="C120" s="47" t="inlineStr">
        <is>
          <t>TP. Hồ Chí Minh</t>
        </is>
      </c>
      <c r="D120" s="47" t="inlineStr">
        <is>
          <t>IUH</t>
        </is>
      </c>
      <c r="E120" s="48">
        <f>COUNTA(IUH!$B$11:$B$500)</f>
        <v/>
      </c>
      <c r="F120" s="48">
        <f>IF(E120&gt;0,"Đã có dữ liệu","Chưa có dữ liệu")</f>
        <v/>
      </c>
      <c r="G120" s="49" t="inlineStr">
        <is>
          <t>https://iuh.edu.vn/</t>
        </is>
      </c>
      <c r="H120" s="49" t="inlineStr">
        <is>
          <t>https://tuyensinh.iuh.edu.vn/</t>
        </is>
      </c>
      <c r="I120" s="50" t="n"/>
    </row>
    <row r="121" outlineLevel="2" ht="15" customHeight="1" s="35">
      <c r="A121" s="45" t="inlineStr">
        <is>
          <t>Trường Đại học Công Thương TP.HCM (HUIT)</t>
        </is>
      </c>
      <c r="B121" s="46" t="n"/>
      <c r="C121" s="47" t="inlineStr">
        <is>
          <t>TP. Hồ Chí Minh</t>
        </is>
      </c>
      <c r="D121" s="47" t="inlineStr">
        <is>
          <t>HUIT</t>
        </is>
      </c>
      <c r="E121" s="48">
        <f>COUNTA(HUIT!$B$11:$B$500)</f>
        <v/>
      </c>
      <c r="F121" s="48">
        <f>IF(E121&gt;0,"Đã có dữ liệu","Chưa có dữ liệu")</f>
        <v/>
      </c>
      <c r="G121" s="49" t="inlineStr">
        <is>
          <t>https://huit.edu.vn/</t>
        </is>
      </c>
      <c r="H121" s="49" t="inlineStr">
        <is>
          <t>https://tuyensinh.huit.edu.vn/</t>
        </is>
      </c>
      <c r="I121" s="50" t="n"/>
    </row>
    <row r="122" outlineLevel="2" ht="15" customHeight="1" s="35">
      <c r="A122" s="45" t="inlineStr">
        <is>
          <t>Trường Đại học Giao thông vận tải TP.HCM (UTH)</t>
        </is>
      </c>
      <c r="B122" s="46" t="n"/>
      <c r="C122" s="47" t="inlineStr">
        <is>
          <t>TP. Hồ Chí Minh</t>
        </is>
      </c>
      <c r="D122" s="47" t="inlineStr">
        <is>
          <t>UTH</t>
        </is>
      </c>
      <c r="E122" s="48">
        <f>COUNTA(UTH!$B$11:$B$500)</f>
        <v/>
      </c>
      <c r="F122" s="48">
        <f>IF(E122&gt;0,"Đã có dữ liệu","Chưa có dữ liệu")</f>
        <v/>
      </c>
      <c r="G122" s="49" t="inlineStr">
        <is>
          <t>https://ut.edu.vn/</t>
        </is>
      </c>
      <c r="H122" s="49" t="inlineStr">
        <is>
          <t>https://tuyensinh.ut.edu.vn/</t>
        </is>
      </c>
      <c r="I122" s="50" t="n"/>
    </row>
    <row r="123" outlineLevel="2" ht="15" customHeight="1" s="35">
      <c r="A123" s="45" t="inlineStr">
        <is>
          <t>Trường Đại học Mở TP.HCM (OU)</t>
        </is>
      </c>
      <c r="B123" s="46" t="n"/>
      <c r="C123" s="47" t="inlineStr">
        <is>
          <t>TP. Hồ Chí Minh</t>
        </is>
      </c>
      <c r="D123" s="47" t="inlineStr">
        <is>
          <t>OU</t>
        </is>
      </c>
      <c r="E123" s="48">
        <f>COUNTA(OU!$B$11:$B$500)</f>
        <v/>
      </c>
      <c r="F123" s="48">
        <f>IF(E123&gt;0,"Đã có dữ liệu","Chưa có dữ liệu")</f>
        <v/>
      </c>
      <c r="G123" s="49" t="inlineStr">
        <is>
          <t>https://ou.edu.vn/</t>
        </is>
      </c>
      <c r="H123" s="49" t="inlineStr">
        <is>
          <t>https://tuyensinh.ou.edu.vn/</t>
        </is>
      </c>
      <c r="I123" s="50" t="n"/>
    </row>
    <row r="124" outlineLevel="2" ht="15" customHeight="1" s="35">
      <c r="A124" s="45" t="inlineStr">
        <is>
          <t>Trường Đại học Tài chính - Marketing (UFM)</t>
        </is>
      </c>
      <c r="B124" s="46" t="n"/>
      <c r="C124" s="47" t="inlineStr">
        <is>
          <t>TP. Hồ Chí Minh</t>
        </is>
      </c>
      <c r="D124" s="47" t="inlineStr">
        <is>
          <t>UFM</t>
        </is>
      </c>
      <c r="E124" s="48">
        <f>COUNTA(UFM!$B$11:$B$500)</f>
        <v/>
      </c>
      <c r="F124" s="48">
        <f>IF(E124&gt;0,"Đã có dữ liệu","Chưa có dữ liệu")</f>
        <v/>
      </c>
      <c r="G124" s="49" t="inlineStr">
        <is>
          <t>https://ufm.edu.vn/</t>
        </is>
      </c>
      <c r="H124" s="49" t="inlineStr">
        <is>
          <t>https://tuyensinh.ufm.edu.vn/</t>
        </is>
      </c>
      <c r="I124" s="50" t="n"/>
    </row>
    <row r="125" outlineLevel="2" ht="15" customHeight="1" s="35">
      <c r="A125" s="45" t="inlineStr">
        <is>
          <t>Trường Đại học Ngân hàng TP.HCM (HUB)</t>
        </is>
      </c>
      <c r="B125" s="46" t="n"/>
      <c r="C125" s="47" t="inlineStr">
        <is>
          <t>TP. Hồ Chí Minh</t>
        </is>
      </c>
      <c r="D125" s="47" t="inlineStr">
        <is>
          <t>HUB</t>
        </is>
      </c>
      <c r="E125" s="48">
        <f>COUNTA(HUB!$B$11:$B$500)</f>
        <v/>
      </c>
      <c r="F125" s="48">
        <f>IF(E125&gt;0,"Đã có dữ liệu","Chưa có dữ liệu")</f>
        <v/>
      </c>
      <c r="G125" s="49" t="inlineStr">
        <is>
          <t>https://hub.edu.vn/</t>
        </is>
      </c>
      <c r="H125" s="49" t="inlineStr">
        <is>
          <t>https://tuyensinh.hub.edu.vn/</t>
        </is>
      </c>
      <c r="I125" s="50" t="n"/>
    </row>
    <row r="126" outlineLevel="2" ht="15" customHeight="1" s="35">
      <c r="A126" s="45" t="inlineStr">
        <is>
          <t>Đại học Luật TP.HCM (ULAW)</t>
        </is>
      </c>
      <c r="B126" s="46" t="n"/>
      <c r="C126" s="47" t="inlineStr">
        <is>
          <t>TP. Hồ Chí Minh</t>
        </is>
      </c>
      <c r="D126" s="47" t="inlineStr">
        <is>
          <t>ULAW</t>
        </is>
      </c>
      <c r="E126" s="48">
        <f>COUNTA(ULAW!$B$11:$B$500)</f>
        <v/>
      </c>
      <c r="F126" s="48">
        <f>IF(E126&gt;0,"Đã có dữ liệu","Chưa có dữ liệu")</f>
        <v/>
      </c>
      <c r="G126" s="49" t="inlineStr">
        <is>
          <t>https://hcmulaw.edu.vn/</t>
        </is>
      </c>
      <c r="H126" s="49" t="inlineStr">
        <is>
          <t>https://tuyensinh.hcmulaw.edu.vn/</t>
        </is>
      </c>
      <c r="I126" s="50" t="n"/>
    </row>
    <row r="127" outlineLevel="2" ht="15" customHeight="1" s="35">
      <c r="A127" s="45" t="inlineStr">
        <is>
          <t>Trường Đại học Kiến trúc TP.HCM (UAH)</t>
        </is>
      </c>
      <c r="B127" s="46" t="n"/>
      <c r="C127" s="47" t="inlineStr">
        <is>
          <t>TP. Hồ Chí Minh</t>
        </is>
      </c>
      <c r="D127" s="47" t="inlineStr">
        <is>
          <t>UAH</t>
        </is>
      </c>
      <c r="E127" s="48">
        <f>COUNTA(UAH!$B$11:$B$500)</f>
        <v/>
      </c>
      <c r="F127" s="48">
        <f>IF(E127&gt;0,"Đã có dữ liệu","Chưa có dữ liệu")</f>
        <v/>
      </c>
      <c r="G127" s="49" t="inlineStr">
        <is>
          <t>https://uah.edu.vn/</t>
        </is>
      </c>
      <c r="H127" s="49" t="inlineStr">
        <is>
          <t>https://tuyensinh.uah.edu.vn/</t>
        </is>
      </c>
      <c r="I127" s="50" t="n"/>
    </row>
    <row r="128" outlineLevel="2" ht="23.85" customHeight="1" s="35">
      <c r="A128" s="45" t="inlineStr">
        <is>
          <t>Trường Đại học Mỹ thuật TP.HCM</t>
        </is>
      </c>
      <c r="B128" s="46" t="n"/>
      <c r="C128" s="47" t="inlineStr">
        <is>
          <t>TP. Hồ Chí Minh</t>
        </is>
      </c>
      <c r="D128" s="47" t="n"/>
      <c r="E128" s="48">
        <f>COUNTA('Mỹ thuật TP.HCM'!$B$11:$B$500)</f>
        <v/>
      </c>
      <c r="F128" s="48">
        <f>IF(E128&gt;0,"Đã có dữ liệu","Chưa có dữ liệu")</f>
        <v/>
      </c>
      <c r="G128" s="49" t="inlineStr">
        <is>
          <t>https://hufa.edu.vn/</t>
        </is>
      </c>
      <c r="H128" s="49" t="inlineStr">
        <is>
          <t>https://tuyensinh.hufa.edu.vn/</t>
        </is>
      </c>
      <c r="I128" s="50" t="inlineStr">
        <is>
          <t>Trang chủ/tuyển sinh trong file gốc trùng với #60 (ĐH Nghệ thuật Huế) - cần kiểm tra lại link.</t>
        </is>
      </c>
    </row>
    <row r="129" outlineLevel="2" ht="15" customHeight="1" s="35">
      <c r="A129" s="45" t="inlineStr">
        <is>
          <t>Trường Đại học Văn hóa TP.HCM</t>
        </is>
      </c>
      <c r="B129" s="46" t="n"/>
      <c r="C129" s="47" t="inlineStr">
        <is>
          <t>TP. Hồ Chí Minh</t>
        </is>
      </c>
      <c r="D129" s="47" t="n"/>
      <c r="E129" s="48">
        <f>COUNTA('Văn hóa TP.HCM'!$B$11:$B$500)</f>
        <v/>
      </c>
      <c r="F129" s="48">
        <f>IF(E129&gt;0,"Đã có dữ liệu","Chưa có dữ liệu")</f>
        <v/>
      </c>
      <c r="G129" s="49" t="inlineStr">
        <is>
          <t>https://hcmuc.edu.vn/</t>
        </is>
      </c>
      <c r="H129" s="49" t="inlineStr">
        <is>
          <t>https://tuyensinh.hcmuc.edu.vn/</t>
        </is>
      </c>
      <c r="I129" s="50" t="n"/>
    </row>
    <row r="130" outlineLevel="2" ht="15" customHeight="1" s="35">
      <c r="A130" s="45" t="inlineStr">
        <is>
          <t>Đại học Y Dược TP.HCM (UMP)</t>
        </is>
      </c>
      <c r="B130" s="46" t="n"/>
      <c r="C130" s="47" t="inlineStr">
        <is>
          <t>TP. Hồ Chí Minh</t>
        </is>
      </c>
      <c r="D130" s="47" t="inlineStr">
        <is>
          <t>UMP</t>
        </is>
      </c>
      <c r="E130" s="48">
        <f>COUNTA(UMP!$B$11:$B$500)</f>
        <v/>
      </c>
      <c r="F130" s="48">
        <f>IF(E130&gt;0,"Đã có dữ liệu","Chưa có dữ liệu")</f>
        <v/>
      </c>
      <c r="G130" s="49" t="inlineStr">
        <is>
          <t>https://ump.edu.vn/</t>
        </is>
      </c>
      <c r="H130" s="49" t="inlineStr">
        <is>
          <t>https://tuyensinh.ump.edu.vn/</t>
        </is>
      </c>
      <c r="I130" s="50" t="n"/>
    </row>
    <row r="131" outlineLevel="2" ht="15" customHeight="1" s="35">
      <c r="A131" s="45" t="inlineStr">
        <is>
          <t>Trường Đại học Y khoa Phạm Ngọc Thạch</t>
        </is>
      </c>
      <c r="B131" s="46" t="n"/>
      <c r="C131" s="47" t="inlineStr">
        <is>
          <t>TP. Hồ Chí Minh</t>
        </is>
      </c>
      <c r="D131" s="47" t="n"/>
      <c r="E131" s="48">
        <f>COUNTA(PNT!$B$11:$B$500)</f>
        <v/>
      </c>
      <c r="F131" s="48">
        <f>IF(E131&gt;0,"Đã có dữ liệu","Chưa có dữ liệu")</f>
        <v/>
      </c>
      <c r="G131" s="49" t="inlineStr">
        <is>
          <t>https://pnt.edu.vn/</t>
        </is>
      </c>
      <c r="H131" s="49" t="inlineStr">
        <is>
          <t>https://tuyensinh.pnt.edu.vn/</t>
        </is>
      </c>
      <c r="I131" s="50" t="n"/>
    </row>
    <row r="132" outlineLevel="2" ht="15" customHeight="1" s="35">
      <c r="A132" s="45" t="inlineStr">
        <is>
          <t>Trường Đại học Nông Lâm TP.HCM (NLU)</t>
        </is>
      </c>
      <c r="B132" s="46" t="n"/>
      <c r="C132" s="47" t="inlineStr">
        <is>
          <t>TP. Hồ Chí Minh</t>
        </is>
      </c>
      <c r="D132" s="47" t="inlineStr">
        <is>
          <t>NLU</t>
        </is>
      </c>
      <c r="E132" s="48">
        <f>COUNTA(NLU!$B$11:$B$500)</f>
        <v/>
      </c>
      <c r="F132" s="48">
        <f>IF(E132&gt;0,"Đã có dữ liệu","Chưa có dữ liệu")</f>
        <v/>
      </c>
      <c r="G132" s="49" t="inlineStr">
        <is>
          <t>https://hcmuaf.edu.vn/</t>
        </is>
      </c>
      <c r="H132" s="49" t="inlineStr">
        <is>
          <t>https://tuyensinh.hcmuaf.edu.vn/</t>
        </is>
      </c>
      <c r="I132" s="50" t="n"/>
    </row>
    <row r="133" outlineLevel="2" ht="15" customHeight="1" s="35">
      <c r="A133" s="45" t="inlineStr">
        <is>
          <t>Trường Đại học Tài nguyên và Môi trường TP.HCM</t>
        </is>
      </c>
      <c r="B133" s="46" t="n"/>
      <c r="C133" s="47" t="inlineStr">
        <is>
          <t>TP. Hồ Chí Minh</t>
        </is>
      </c>
      <c r="D133" s="47" t="n"/>
      <c r="E133" s="48">
        <f>COUNTA(HCMUNRE!$B$11:$B$500)</f>
        <v/>
      </c>
      <c r="F133" s="48">
        <f>IF(E133&gt;0,"Đã có dữ liệu","Chưa có dữ liệu")</f>
        <v/>
      </c>
      <c r="G133" s="49" t="inlineStr">
        <is>
          <t>https://hcmunre.edu.vn/</t>
        </is>
      </c>
      <c r="H133" s="49" t="inlineStr">
        <is>
          <t>https://tuyensinh.hcmunre.edu.vn/</t>
        </is>
      </c>
      <c r="I133" s="50" t="n"/>
    </row>
    <row r="134" outlineLevel="2" ht="15" customHeight="1" s="35">
      <c r="A134" s="45" t="inlineStr">
        <is>
          <t>Trường Đại học Công nghệ TP.HCM (HUTECH)</t>
        </is>
      </c>
      <c r="B134" s="46" t="n"/>
      <c r="C134" s="47" t="inlineStr">
        <is>
          <t>TP. Hồ Chí Minh</t>
        </is>
      </c>
      <c r="D134" s="47" t="inlineStr">
        <is>
          <t>HUTECH</t>
        </is>
      </c>
      <c r="E134" s="48">
        <f>COUNTA(HUTECH!$B$11:$B$500)</f>
        <v/>
      </c>
      <c r="F134" s="48">
        <f>IF(E134&gt;0,"Đã có dữ liệu","Chưa có dữ liệu")</f>
        <v/>
      </c>
      <c r="G134" s="49" t="inlineStr">
        <is>
          <t>https://hutech.edu.vn/</t>
        </is>
      </c>
      <c r="H134" s="49" t="inlineStr">
        <is>
          <t>https://tuyensinh.hutech.edu.vn/</t>
        </is>
      </c>
      <c r="I134" s="50" t="n"/>
    </row>
    <row r="135" outlineLevel="2" ht="15" customHeight="1" s="35">
      <c r="A135" s="45" t="inlineStr">
        <is>
          <t>Trường Đại học Kinh tế - Tài chính TP.HCM (UEF)</t>
        </is>
      </c>
      <c r="B135" s="46" t="n"/>
      <c r="C135" s="47" t="inlineStr">
        <is>
          <t>TP. Hồ Chí Minh</t>
        </is>
      </c>
      <c r="D135" s="47" t="inlineStr">
        <is>
          <t>UEF</t>
        </is>
      </c>
      <c r="E135" s="48">
        <f>COUNTA(UEF!$B$11:$B$500)</f>
        <v/>
      </c>
      <c r="F135" s="48">
        <f>IF(E135&gt;0,"Đã có dữ liệu","Chưa có dữ liệu")</f>
        <v/>
      </c>
      <c r="G135" s="49" t="inlineStr">
        <is>
          <t>https://uef.edu.vn/</t>
        </is>
      </c>
      <c r="H135" s="49" t="inlineStr">
        <is>
          <t>https://tuyensinh.uef.edu.vn/</t>
        </is>
      </c>
      <c r="I135" s="50" t="n"/>
    </row>
    <row r="136" outlineLevel="2" ht="15" customHeight="1" s="35">
      <c r="A136" s="45" t="inlineStr">
        <is>
          <t>Trường Đại học Hoa Sen</t>
        </is>
      </c>
      <c r="B136" s="46" t="n"/>
      <c r="C136" s="47" t="inlineStr">
        <is>
          <t>TP. Hồ Chí Minh</t>
        </is>
      </c>
      <c r="D136" s="47" t="n"/>
      <c r="E136" s="48">
        <f>COUNTA('Hoa Sen'!$B$11:$B$500)</f>
        <v/>
      </c>
      <c r="F136" s="48">
        <f>IF(E136&gt;0,"Đã có dữ liệu","Chưa có dữ liệu")</f>
        <v/>
      </c>
      <c r="G136" s="49" t="inlineStr">
        <is>
          <t>https://hoasen.edu.vn/</t>
        </is>
      </c>
      <c r="H136" s="49" t="inlineStr">
        <is>
          <t>https://tuyensinh.hoasen.edu.vn/</t>
        </is>
      </c>
      <c r="I136" s="50" t="n"/>
    </row>
    <row r="137" outlineLevel="2" ht="15" customHeight="1" s="35">
      <c r="A137" s="45" t="inlineStr">
        <is>
          <t>Trường Đại học Nguyễn Tất Thành</t>
        </is>
      </c>
      <c r="B137" s="46" t="n"/>
      <c r="C137" s="47" t="inlineStr">
        <is>
          <t>TP. Hồ Chí Minh</t>
        </is>
      </c>
      <c r="D137" s="47" t="n"/>
      <c r="E137" s="48">
        <f>COUNTA(NTT!$B$11:$B$500)</f>
        <v/>
      </c>
      <c r="F137" s="48">
        <f>IF(E137&gt;0,"Đã có dữ liệu","Chưa có dữ liệu")</f>
        <v/>
      </c>
      <c r="G137" s="49" t="inlineStr">
        <is>
          <t>https://ntt.edu.vn/</t>
        </is>
      </c>
      <c r="H137" s="49" t="inlineStr">
        <is>
          <t>https://tuyensinh.ntt.edu.vn/</t>
        </is>
      </c>
      <c r="I137" s="50" t="n"/>
    </row>
    <row r="138" outlineLevel="2" ht="15" customHeight="1" s="35">
      <c r="A138" s="45" t="inlineStr">
        <is>
          <t>Trường Đại học Văn Lang</t>
        </is>
      </c>
      <c r="B138" s="46" t="n"/>
      <c r="C138" s="47" t="inlineStr">
        <is>
          <t>TP. Hồ Chí Minh</t>
        </is>
      </c>
      <c r="D138" s="47" t="n"/>
      <c r="E138" s="48">
        <f>COUNTA('Văn Lang'!$B$11:$B$500)</f>
        <v/>
      </c>
      <c r="F138" s="48">
        <f>IF(E138&gt;0,"Đã có dữ liệu","Chưa có dữ liệu")</f>
        <v/>
      </c>
      <c r="G138" s="49" t="inlineStr">
        <is>
          <t>https://vanlanguni.edu.vn/</t>
        </is>
      </c>
      <c r="H138" s="49" t="inlineStr">
        <is>
          <t>https://tuyensinh.vanlanguni.edu.vn/</t>
        </is>
      </c>
      <c r="I138" s="50" t="n"/>
    </row>
    <row r="139" outlineLevel="2" ht="15" customHeight="1" s="35">
      <c r="A139" s="45" t="inlineStr">
        <is>
          <t>Trường Đại học Việt - Đức (VGU)</t>
        </is>
      </c>
      <c r="B139" s="46" t="n"/>
      <c r="C139" s="47" t="inlineStr">
        <is>
          <t>Bình Dương</t>
        </is>
      </c>
      <c r="D139" s="47" t="inlineStr">
        <is>
          <t>VGU</t>
        </is>
      </c>
      <c r="E139" s="48">
        <f>COUNTA(VGU!$B$11:$B$500)</f>
        <v/>
      </c>
      <c r="F139" s="48">
        <f>IF(E139&gt;0,"Đã có dữ liệu","Chưa có dữ liệu")</f>
        <v/>
      </c>
      <c r="G139" s="49" t="inlineStr">
        <is>
          <t>https://vgu.edu.vn/</t>
        </is>
      </c>
      <c r="H139" s="49" t="inlineStr">
        <is>
          <t>https://tuyensinh.vgu.edu.vn/</t>
        </is>
      </c>
      <c r="I139" s="50" t="n"/>
    </row>
    <row r="140" outlineLevel="2" ht="15" customHeight="1" s="35">
      <c r="A140" s="45" t="inlineStr">
        <is>
          <t>Trường Đại học Thủ Dầu Một</t>
        </is>
      </c>
      <c r="B140" s="46" t="n"/>
      <c r="C140" s="47" t="inlineStr">
        <is>
          <t>Bình Dương</t>
        </is>
      </c>
      <c r="D140" s="47" t="n"/>
      <c r="E140" s="48">
        <f>COUNTA('Thủ Dầu Một'!$B$11:$B$500)</f>
        <v/>
      </c>
      <c r="F140" s="48">
        <f>IF(E140&gt;0,"Đã có dữ liệu","Chưa có dữ liệu")</f>
        <v/>
      </c>
      <c r="G140" s="49" t="inlineStr">
        <is>
          <t>https://tdmu.edu.vn/</t>
        </is>
      </c>
      <c r="H140" s="49" t="inlineStr">
        <is>
          <t>https://tuyensinh.tdmu.edu.vn/</t>
        </is>
      </c>
      <c r="I140" s="50" t="n"/>
    </row>
    <row r="141" outlineLevel="2" ht="15" customHeight="1" s="35">
      <c r="A141" s="45" t="inlineStr">
        <is>
          <t>Trường Sĩ quan Công binh</t>
        </is>
      </c>
      <c r="B141" s="46" t="n"/>
      <c r="C141" s="47" t="inlineStr">
        <is>
          <t>Bình Dương</t>
        </is>
      </c>
      <c r="D141" s="47" t="n"/>
      <c r="E141" s="48">
        <f>COUNTA('SQ Công binh'!$B$11:$B$500)</f>
        <v/>
      </c>
      <c r="F141" s="48">
        <f>IF(E141&gt;0,"Đã có dữ liệu","Chưa có dữ liệu")</f>
        <v/>
      </c>
      <c r="G141" s="49" t="inlineStr">
        <is>
          <t>https://truongcongbinh.edu.vn/</t>
        </is>
      </c>
      <c r="H141" s="47" t="inlineStr">
        <is>
          <t>Trang tuyển sinh quân sự</t>
        </is>
      </c>
      <c r="I141" s="50" t="inlineStr">
        <is>
          <t>Địa điểm chưa đối chiếu nguồn - cần xác minh.</t>
        </is>
      </c>
    </row>
    <row r="142" outlineLevel="2" ht="15" customHeight="1" s="35">
      <c r="A142" s="45" t="inlineStr">
        <is>
          <t>Trường Đại học An ninh nhân dân</t>
        </is>
      </c>
      <c r="B142" s="46" t="n"/>
      <c r="C142" s="47" t="inlineStr">
        <is>
          <t>TP. Hồ Chí Minh</t>
        </is>
      </c>
      <c r="D142" s="47" t="n"/>
      <c r="E142" s="48">
        <f>COUNTA('ĐH An ninh ND'!$B$11:$B$500)</f>
        <v/>
      </c>
      <c r="F142" s="48">
        <f>IF(E142&gt;0,"Đã có dữ liệu","Chưa có dữ liệu")</f>
        <v/>
      </c>
      <c r="G142" s="49" t="inlineStr">
        <is>
          <t>https://dhanninh.edu.vn/</t>
        </is>
      </c>
      <c r="H142" s="49" t="inlineStr">
        <is>
          <t>https://tuyensinh.dhanninh.edu.vn/</t>
        </is>
      </c>
      <c r="I142" s="50" t="n"/>
    </row>
    <row r="143" outlineLevel="2" ht="15" customHeight="1" s="35">
      <c r="A143" s="45" t="inlineStr">
        <is>
          <t>Trường Đại học Cảnh sát nhân dân</t>
        </is>
      </c>
      <c r="B143" s="46" t="n"/>
      <c r="C143" s="47" t="inlineStr">
        <is>
          <t>TP. Hồ Chí Minh</t>
        </is>
      </c>
      <c r="D143" s="47" t="n"/>
      <c r="E143" s="48">
        <f>COUNTA('ĐH Cảnh sát ND'!$B$11:$B$500)</f>
        <v/>
      </c>
      <c r="F143" s="48">
        <f>IF(E143&gt;0,"Đã có dữ liệu","Chưa có dữ liệu")</f>
        <v/>
      </c>
      <c r="G143" s="49" t="inlineStr">
        <is>
          <t>https://dhcsnd.edu.vn/</t>
        </is>
      </c>
      <c r="H143" s="49" t="inlineStr">
        <is>
          <t>https://tuyensinh.dhcsnd.edu.vn/</t>
        </is>
      </c>
      <c r="I143" s="50" t="n"/>
    </row>
    <row r="144" outlineLevel="1" ht="15" customHeight="1" s="35">
      <c r="A144" s="42" t="inlineStr">
        <is>
          <t>Đồng Nai</t>
        </is>
      </c>
      <c r="B144" s="43">
        <f>COUNTA(A145:A146)</f>
        <v/>
      </c>
      <c r="C144" s="44" t="n"/>
      <c r="D144" s="44" t="n"/>
      <c r="E144" s="44" t="n"/>
      <c r="F144" s="44" t="n"/>
      <c r="G144" s="44" t="n"/>
      <c r="H144" s="44" t="n"/>
      <c r="I144" s="44" t="n"/>
    </row>
    <row r="145" outlineLevel="2" ht="15" customHeight="1" s="35">
      <c r="A145" s="45" t="inlineStr">
        <is>
          <t>Trường Đại học Lạc Hồng</t>
        </is>
      </c>
      <c r="B145" s="46" t="n"/>
      <c r="C145" s="47" t="inlineStr">
        <is>
          <t>Đồng Nai</t>
        </is>
      </c>
      <c r="D145" s="47" t="n"/>
      <c r="E145" s="48">
        <f>COUNTA('Lạc Hồng'!$B$11:$B$500)</f>
        <v/>
      </c>
      <c r="F145" s="48">
        <f>IF(E145&gt;0,"Đã có dữ liệu","Chưa có dữ liệu")</f>
        <v/>
      </c>
      <c r="G145" s="49" t="inlineStr">
        <is>
          <t>https://lhu.edu.vn/</t>
        </is>
      </c>
      <c r="H145" s="49" t="inlineStr">
        <is>
          <t>https://tuyensinh.lhu.edu.vn/</t>
        </is>
      </c>
      <c r="I145" s="50" t="n"/>
    </row>
    <row r="146" outlineLevel="2" ht="15" customHeight="1" s="35">
      <c r="A146" s="45" t="inlineStr">
        <is>
          <t>Trường Sĩ quan Lục quân 2 (Đại học Nguyễn Huệ)</t>
        </is>
      </c>
      <c r="B146" s="46" t="n"/>
      <c r="C146" s="47" t="inlineStr">
        <is>
          <t>Đồng Nai</t>
        </is>
      </c>
      <c r="D146" s="47" t="n"/>
      <c r="E146" s="48">
        <f>COUNTA('SQ Lục quân 2'!$B$11:$B$500)</f>
        <v/>
      </c>
      <c r="F146" s="48">
        <f>IF(E146&gt;0,"Đã có dữ liệu","Chưa có dữ liệu")</f>
        <v/>
      </c>
      <c r="G146" s="49" t="inlineStr">
        <is>
          <t>https://daihocnguyenHue.edu.vn/</t>
        </is>
      </c>
      <c r="H146" s="47" t="inlineStr">
        <is>
          <t>Trang tuyển sinh quân sự</t>
        </is>
      </c>
      <c r="I146" s="50" t="inlineStr">
        <is>
          <t>Địa điểm chưa đối chiếu nguồn - cần xác minh.</t>
        </is>
      </c>
    </row>
    <row r="147" outlineLevel="1" ht="15" customHeight="1" s="35">
      <c r="A147" s="42" t="inlineStr">
        <is>
          <t>Cần Thơ</t>
        </is>
      </c>
      <c r="B147" s="43">
        <f>COUNTA(A148:A148)</f>
        <v/>
      </c>
      <c r="C147" s="44" t="n"/>
      <c r="D147" s="44" t="n"/>
      <c r="E147" s="44" t="n"/>
      <c r="F147" s="44" t="n"/>
      <c r="G147" s="44" t="n"/>
      <c r="H147" s="44" t="n"/>
      <c r="I147" s="44" t="n"/>
    </row>
    <row r="148" outlineLevel="2" ht="15" customHeight="1" s="35">
      <c r="A148" s="45" t="inlineStr">
        <is>
          <t>Trường Đại học Cần Thơ (CTU)</t>
        </is>
      </c>
      <c r="B148" s="46" t="n"/>
      <c r="C148" s="47" t="inlineStr">
        <is>
          <t>Cần Thơ</t>
        </is>
      </c>
      <c r="D148" s="47" t="inlineStr">
        <is>
          <t>CTU</t>
        </is>
      </c>
      <c r="E148" s="48">
        <f>COUNTA(CTU!$B$11:$B$500)</f>
        <v/>
      </c>
      <c r="F148" s="48">
        <f>IF(E148&gt;0,"Đã có dữ liệu","Chưa có dữ liệu")</f>
        <v/>
      </c>
      <c r="G148" s="49" t="inlineStr">
        <is>
          <t>https://ctu.edu.vn/</t>
        </is>
      </c>
      <c r="H148" s="49" t="inlineStr">
        <is>
          <t>https://tuyensinh.ctu.edu.vn/</t>
        </is>
      </c>
      <c r="I148" s="50" t="n"/>
    </row>
    <row r="149" ht="15" customHeight="1" s="35">
      <c r="A149" s="57" t="inlineStr">
        <is>
          <t>CHƯA XÁC ĐỊNH</t>
        </is>
      </c>
      <c r="B149" s="58">
        <f>B150</f>
        <v/>
      </c>
      <c r="C149" s="59" t="n"/>
      <c r="D149" s="59" t="n"/>
      <c r="E149" s="59" t="n"/>
      <c r="F149" s="59" t="n"/>
      <c r="G149" s="59" t="n"/>
      <c r="H149" s="59" t="n"/>
      <c r="I149" s="59" t="n"/>
    </row>
    <row r="150" outlineLevel="1" ht="15" customHeight="1" s="35">
      <c r="A150" s="42" t="inlineStr">
        <is>
          <t>Chưa xác định</t>
        </is>
      </c>
      <c r="B150" s="43">
        <f>COUNTA(A151:A152)</f>
        <v/>
      </c>
      <c r="C150" s="44" t="n"/>
      <c r="D150" s="44" t="n"/>
      <c r="E150" s="44" t="n"/>
      <c r="F150" s="44" t="n"/>
      <c r="G150" s="44" t="n"/>
      <c r="H150" s="44" t="n"/>
      <c r="I150" s="44" t="n"/>
    </row>
    <row r="151" outlineLevel="2" ht="23.85" customHeight="1" s="35">
      <c r="A151" s="45" t="inlineStr">
        <is>
          <t>Trường Sĩ quan Kỹ thuật Quân sự (Đại học Trần Đại Nghĩa)</t>
        </is>
      </c>
      <c r="B151" s="46" t="n"/>
      <c r="C151" s="47" t="inlineStr">
        <is>
          <t>Chưa xác định</t>
        </is>
      </c>
      <c r="D151" s="47" t="n"/>
      <c r="E151" s="48">
        <f>COUNTA('SQ KT Quân sự'!$B$11:$B$500)</f>
        <v/>
      </c>
      <c r="F151" s="48">
        <f>IF(E151&gt;0,"Đã có dữ liệu","Chưa có dữ liệu")</f>
        <v/>
      </c>
      <c r="G151" s="49" t="inlineStr">
        <is>
          <t>https://trandainghia.edu.vn/</t>
        </is>
      </c>
      <c r="H151" s="47" t="inlineStr">
        <is>
          <t>Trang tuyển sinh quân sự</t>
        </is>
      </c>
      <c r="I151" s="50" t="inlineStr">
        <is>
          <t>Chưa xác định được địa điểm từ nguồn tìm được - cần xác minh.</t>
        </is>
      </c>
    </row>
    <row r="152" outlineLevel="2" ht="35.05" customHeight="1" s="35">
      <c r="A152" s="45" t="inlineStr">
        <is>
          <t>Học viện Quốc tế (AIS)</t>
        </is>
      </c>
      <c r="B152" s="46" t="n"/>
      <c r="C152" s="47" t="inlineStr">
        <is>
          <t>Chưa xác định</t>
        </is>
      </c>
      <c r="D152" s="47" t="inlineStr">
        <is>
          <t>AIS</t>
        </is>
      </c>
      <c r="E152" s="48">
        <f>COUNTA('HV Quốc tế (AIS)'!$B$11:$B$500)</f>
        <v/>
      </c>
      <c r="F152" s="48">
        <f>IF(E152&gt;0,"Đã có dữ liệu","Chưa có dữ liệu")</f>
        <v/>
      </c>
      <c r="G152" s="49" t="inlineStr">
        <is>
          <t>https://ais.edu.vn/</t>
        </is>
      </c>
      <c r="H152" s="49" t="inlineStr">
        <is>
          <t>https://tuyensinh.ais.edu.vn/</t>
        </is>
      </c>
      <c r="I152" s="50" t="inlineStr">
        <is>
          <t>Chưa xác định được trường này: 'AIS' tìm thấy là trường phổ thông quốc tế Úc ở TP.HCM, không phải đại học - cần kiểm tra lại dữ liệu gốc.</t>
        </is>
      </c>
    </row>
    <row r="153" ht="15" customHeight="1" s="35">
      <c r="A153" s="60" t="inlineStr">
        <is>
          <t>TỔNG CỘNG</t>
        </is>
      </c>
      <c r="B153" s="61">
        <f>B5+B75+B108+B149</f>
        <v/>
      </c>
      <c r="C153" s="62" t="n"/>
      <c r="D153" s="62" t="n"/>
      <c r="E153" s="61">
        <f>SUM(E5:E152)</f>
        <v/>
      </c>
      <c r="F153" s="61">
        <f>COUNTIF(F5:F152,"Đã có dữ liệu")&amp;"/"&amp;B153&amp;" trường đã có"</f>
        <v/>
      </c>
      <c r="G153" s="62" t="n"/>
      <c r="H153" s="62" t="n"/>
      <c r="I153" s="62" t="n"/>
    </row>
  </sheetData>
  <mergeCells count="1">
    <mergeCell ref="A2:I2"/>
  </mergeCells>
  <hyperlinks>
    <hyperlink xmlns:r="http://schemas.openxmlformats.org/officeDocument/2006/relationships" ref="A7" location="'HUST'!A1" display="Đại học Bách khoa Hà Nội (HUST)" r:id="rId1"/>
    <hyperlink xmlns:r="http://schemas.openxmlformats.org/officeDocument/2006/relationships" ref="G7" display="https://hust.edu.vn/" r:id="rId2"/>
    <hyperlink xmlns:r="http://schemas.openxmlformats.org/officeDocument/2006/relationships" ref="H7" display="https://ts.hust.edu.vn/" r:id="rId3"/>
    <hyperlink xmlns:r="http://schemas.openxmlformats.org/officeDocument/2006/relationships" ref="A8" location="'NEU'!A1" display="Đại học Kinh tế Quốc dân (NEU)" r:id="rId4"/>
    <hyperlink xmlns:r="http://schemas.openxmlformats.org/officeDocument/2006/relationships" ref="G8" display="https://neu.edu.vn/" r:id="rId5"/>
    <hyperlink xmlns:r="http://schemas.openxmlformats.org/officeDocument/2006/relationships" ref="H8" display="https://daotao.neu.edu.vn/ hoặc https://xtkh.neu.edu.vn" r:id="rId6"/>
    <hyperlink xmlns:r="http://schemas.openxmlformats.org/officeDocument/2006/relationships" ref="A9" location="'FTU'!A1" display="Đại học Ngoại thương (FTU)" r:id="rId7"/>
    <hyperlink xmlns:r="http://schemas.openxmlformats.org/officeDocument/2006/relationships" ref="G9" display="https://ftu.edu.vn/" r:id="rId8"/>
    <hyperlink xmlns:r="http://schemas.openxmlformats.org/officeDocument/2006/relationships" ref="H9" display="https://tuyensinh.ftu.edu.vn/ hoặc https://thongtintuyensinh.ftu.edu.vn/" r:id="rId9"/>
    <hyperlink xmlns:r="http://schemas.openxmlformats.org/officeDocument/2006/relationships" ref="A10" location="'TMU'!A1" display="Đại học Thương mại (TMU)" r:id="rId10"/>
    <hyperlink xmlns:r="http://schemas.openxmlformats.org/officeDocument/2006/relationships" ref="G10" display="https://tmu.edu.vn/" r:id="rId11"/>
    <hyperlink xmlns:r="http://schemas.openxmlformats.org/officeDocument/2006/relationships" ref="H10" display="https://tuyensinh.tmu.edu.vn/" r:id="rId12"/>
    <hyperlink xmlns:r="http://schemas.openxmlformats.org/officeDocument/2006/relationships" ref="A11" location="'HLU'!A1" display="Trường Đại học Luật Hà Nội (HLU)" r:id="rId13"/>
    <hyperlink xmlns:r="http://schemas.openxmlformats.org/officeDocument/2006/relationships" ref="G11" display="https://hlu.edu.vn/" r:id="rId14"/>
    <hyperlink xmlns:r="http://schemas.openxmlformats.org/officeDocument/2006/relationships" ref="H11" display="https://tuyensinh.hlu.edu.vn/" r:id="rId15"/>
    <hyperlink xmlns:r="http://schemas.openxmlformats.org/officeDocument/2006/relationships" ref="A12" location="'VNU-HUS'!A1" display="Trường Đại học Khoa học Tự nhiên - ĐHQG Hà Nội (VNU-HUS)" r:id="rId16"/>
    <hyperlink xmlns:r="http://schemas.openxmlformats.org/officeDocument/2006/relationships" ref="G12" display="https://hus.vnu.edu.vn/" r:id="rId17"/>
    <hyperlink xmlns:r="http://schemas.openxmlformats.org/officeDocument/2006/relationships" ref="H12" display="https://tuyensinh.hus.vnu.edu.vn/" r:id="rId18"/>
    <hyperlink xmlns:r="http://schemas.openxmlformats.org/officeDocument/2006/relationships" ref="A13" location="'VNU-UET'!A1" display="Trường Đại học Công nghệ - ĐHQG Hà Nội (VNU-UET)" r:id="rId19"/>
    <hyperlink xmlns:r="http://schemas.openxmlformats.org/officeDocument/2006/relationships" ref="G13" display="https://uet.vnu.edu.vn/" r:id="rId20"/>
    <hyperlink xmlns:r="http://schemas.openxmlformats.org/officeDocument/2006/relationships" ref="H13" display="https://tuyensinh.uet.vnu.edu.vn/" r:id="rId21"/>
    <hyperlink xmlns:r="http://schemas.openxmlformats.org/officeDocument/2006/relationships" ref="A14" location="'VNU-UEB'!A1" display="Trường Đại học Kinh tế - ĐHQG Hà Nội (VNU-UEB)" r:id="rId22"/>
    <hyperlink xmlns:r="http://schemas.openxmlformats.org/officeDocument/2006/relationships" ref="G14" display="https://ueb.vnu.edu.vn/" r:id="rId23"/>
    <hyperlink xmlns:r="http://schemas.openxmlformats.org/officeDocument/2006/relationships" ref="H14" display="https://tuyensinh.ueb.edu.vn/" r:id="rId24"/>
    <hyperlink xmlns:r="http://schemas.openxmlformats.org/officeDocument/2006/relationships" ref="A15" location="'VNU-USSH'!A1" display="Trường Đại học Khoa học Xã hội và Nhân văn - ĐHQG Hà Nội (VNU-USSH)" r:id="rId25"/>
    <hyperlink xmlns:r="http://schemas.openxmlformats.org/officeDocument/2006/relationships" ref="G15" display="https://ussh.vnu.edu.vn/" r:id="rId26"/>
    <hyperlink xmlns:r="http://schemas.openxmlformats.org/officeDocument/2006/relationships" ref="H15" display="https://tuyensinh.ussh.edu.vn/" r:id="rId27"/>
    <hyperlink xmlns:r="http://schemas.openxmlformats.org/officeDocument/2006/relationships" ref="A16" location="'VNU-ULIS'!A1" display="Trường Đại học Ngoại ngữ - ĐHQG Hà Nội (VNU-ULIS)" r:id="rId28"/>
    <hyperlink xmlns:r="http://schemas.openxmlformats.org/officeDocument/2006/relationships" ref="G16" display="https://ulis.vnu.edu.vn/" r:id="rId29"/>
    <hyperlink xmlns:r="http://schemas.openxmlformats.org/officeDocument/2006/relationships" ref="H16" display="https://tuyensinh.ulis.vnu.edu.vn/" r:id="rId30"/>
    <hyperlink xmlns:r="http://schemas.openxmlformats.org/officeDocument/2006/relationships" ref="A17" location="'VNU-UED'!A1" display="Trường Đại học Giáo dục - ĐHQG Hà Nội (VNU-UED)" r:id="rId31"/>
    <hyperlink xmlns:r="http://schemas.openxmlformats.org/officeDocument/2006/relationships" ref="G17" display="https://education.vnu.edu.vn/" r:id="rId32"/>
    <hyperlink xmlns:r="http://schemas.openxmlformats.org/officeDocument/2006/relationships" ref="H17" display="https://education.vnu.edu.vn/" r:id="rId33"/>
    <hyperlink xmlns:r="http://schemas.openxmlformats.org/officeDocument/2006/relationships" ref="A18" location="'HUCE'!A1" display="Đại học Xây dựng Hà Nội (HUCE)" r:id="rId34"/>
    <hyperlink xmlns:r="http://schemas.openxmlformats.org/officeDocument/2006/relationships" ref="G18" display="https://huce.edu.vn/" r:id="rId35"/>
    <hyperlink xmlns:r="http://schemas.openxmlformats.org/officeDocument/2006/relationships" ref="H18" display="https://tuyensinh.huce.edu.vn/" r:id="rId36"/>
    <hyperlink xmlns:r="http://schemas.openxmlformats.org/officeDocument/2006/relationships" ref="A19" location="'HAU'!A1" display="Trường Đại học Kiến trúc Hà Nội (HAU)" r:id="rId37"/>
    <hyperlink xmlns:r="http://schemas.openxmlformats.org/officeDocument/2006/relationships" ref="G19" display="https://hau.edu.vn/" r:id="rId38"/>
    <hyperlink xmlns:r="http://schemas.openxmlformats.org/officeDocument/2006/relationships" ref="H19" display="https://tuyensinh.hau.edu.vn/" r:id="rId39"/>
    <hyperlink xmlns:r="http://schemas.openxmlformats.org/officeDocument/2006/relationships" ref="A20" location="'TLU'!A1" display="Trường Đại học Thủy lợi (TLU)" r:id="rId40"/>
    <hyperlink xmlns:r="http://schemas.openxmlformats.org/officeDocument/2006/relationships" ref="G20" display="https://tlu.edu.vn/" r:id="rId41"/>
    <hyperlink xmlns:r="http://schemas.openxmlformats.org/officeDocument/2006/relationships" ref="H20" display="https://tuyensinh.tlu.edu.vn/" r:id="rId42"/>
    <hyperlink xmlns:r="http://schemas.openxmlformats.org/officeDocument/2006/relationships" ref="A21" location="'HUMG'!A1" display="Trường Đại học Mỏ - Địa chất (HUMG)" r:id="rId43"/>
    <hyperlink xmlns:r="http://schemas.openxmlformats.org/officeDocument/2006/relationships" ref="G21" display="https://humg.edu.vn/" r:id="rId44"/>
    <hyperlink xmlns:r="http://schemas.openxmlformats.org/officeDocument/2006/relationships" ref="H21" display="https://tuyensinh.humg.edu.vn/" r:id="rId45"/>
    <hyperlink xmlns:r="http://schemas.openxmlformats.org/officeDocument/2006/relationships" ref="A22" location="'EPU'!A1" display="Đại học Điện lực (EPU)" r:id="rId46"/>
    <hyperlink xmlns:r="http://schemas.openxmlformats.org/officeDocument/2006/relationships" ref="G22" display="https://epu.edu.vn/" r:id="rId47"/>
    <hyperlink xmlns:r="http://schemas.openxmlformats.org/officeDocument/2006/relationships" ref="H22" display="https://tuyensinh.epu.edu.vn/" r:id="rId48"/>
    <hyperlink xmlns:r="http://schemas.openxmlformats.org/officeDocument/2006/relationships" ref="A23" location="'HaUI'!A1" display="Trường Đại học Công nghiệp Hà Nội (HaUI)" r:id="rId49"/>
    <hyperlink xmlns:r="http://schemas.openxmlformats.org/officeDocument/2006/relationships" ref="G23" display="https://haui.edu.vn/" r:id="rId50"/>
    <hyperlink xmlns:r="http://schemas.openxmlformats.org/officeDocument/2006/relationships" ref="H23" display="https://tuyensinh.haui.edu.vn/" r:id="rId51"/>
    <hyperlink xmlns:r="http://schemas.openxmlformats.org/officeDocument/2006/relationships" ref="A24" location="'PTIT'!A1" display="Học viện Công nghệ Bưu chính Viễn thông (PTIT)" r:id="rId52"/>
    <hyperlink xmlns:r="http://schemas.openxmlformats.org/officeDocument/2006/relationships" ref="G24" display="https://ptit.edu.vn/" r:id="rId53"/>
    <hyperlink xmlns:r="http://schemas.openxmlformats.org/officeDocument/2006/relationships" ref="H24" display="https://tuyensinh.ptit.edu.vn/" r:id="rId54"/>
    <hyperlink xmlns:r="http://schemas.openxmlformats.org/officeDocument/2006/relationships" ref="A25" location="'KMA'!A1" display="Học viện Kỹ thuật Mật mã (KMA)" r:id="rId55"/>
    <hyperlink xmlns:r="http://schemas.openxmlformats.org/officeDocument/2006/relationships" ref="G25" display="https://actvn.edu.vn/" r:id="rId56"/>
    <hyperlink xmlns:r="http://schemas.openxmlformats.org/officeDocument/2006/relationships" ref="H25" display="https://tuyensinh.actvn.edu.vn/" r:id="rId57"/>
    <hyperlink xmlns:r="http://schemas.openxmlformats.org/officeDocument/2006/relationships" ref="A26" location="'HV%20Tài%20chính%20(AOF)'!A1" display="Học viện Tài chính (AOF)" r:id="rId58"/>
    <hyperlink xmlns:r="http://schemas.openxmlformats.org/officeDocument/2006/relationships" ref="G26" display="https://hvtc.edu.vn/" r:id="rId59"/>
    <hyperlink xmlns:r="http://schemas.openxmlformats.org/officeDocument/2006/relationships" ref="H26" display="https://tuyensinh.hvtc.edu.vn/" r:id="rId60"/>
    <hyperlink xmlns:r="http://schemas.openxmlformats.org/officeDocument/2006/relationships" ref="A27" location="'HV%20Ngân%20hàng%20(BA)'!A1" display="Học viện Ngân hàng (BA)" r:id="rId61"/>
    <hyperlink xmlns:r="http://schemas.openxmlformats.org/officeDocument/2006/relationships" ref="G27" display="https://hvnh.edu.vn/" r:id="rId62"/>
    <hyperlink xmlns:r="http://schemas.openxmlformats.org/officeDocument/2006/relationships" ref="H27" display="https://tuyensinh.hvnh.edu.vn/" r:id="rId63"/>
    <hyperlink xmlns:r="http://schemas.openxmlformats.org/officeDocument/2006/relationships" ref="A28" location="'HV%20Ngoại%20giao%20(DAV)'!A1" display="Học viện Ngoại giao (DAV)" r:id="rId64"/>
    <hyperlink xmlns:r="http://schemas.openxmlformats.org/officeDocument/2006/relationships" ref="G28" display="https://dav.edu.vn/" r:id="rId65"/>
    <hyperlink xmlns:r="http://schemas.openxmlformats.org/officeDocument/2006/relationships" ref="H28" display="https://tuyensinh.dav.edu.vn/" r:id="rId66"/>
    <hyperlink xmlns:r="http://schemas.openxmlformats.org/officeDocument/2006/relationships" ref="A29" location="'HMU'!A1" display="Đại học Y Hà Nội (HMU)" r:id="rId67"/>
    <hyperlink xmlns:r="http://schemas.openxmlformats.org/officeDocument/2006/relationships" ref="G29" display="https://hmu.edu.vn/" r:id="rId68"/>
    <hyperlink xmlns:r="http://schemas.openxmlformats.org/officeDocument/2006/relationships" ref="H29" display="https://hmu.edu.vn/ (mục Tuyển sinh)" r:id="rId69"/>
    <hyperlink xmlns:r="http://schemas.openxmlformats.org/officeDocument/2006/relationships" ref="A30" location="'HUP'!A1" display="Đại học Dược Hà Nội (HUP)" r:id="rId70"/>
    <hyperlink xmlns:r="http://schemas.openxmlformats.org/officeDocument/2006/relationships" ref="G30" display="https://hup.edu.vn/" r:id="rId71"/>
    <hyperlink xmlns:r="http://schemas.openxmlformats.org/officeDocument/2006/relationships" ref="H30" display="https://tuyensinh.hup.edu.vn/" r:id="rId72"/>
    <hyperlink xmlns:r="http://schemas.openxmlformats.org/officeDocument/2006/relationships" ref="A31" location="'HUPH'!A1" display="Đại học Y tế Công cộng (HUPH)" r:id="rId73"/>
    <hyperlink xmlns:r="http://schemas.openxmlformats.org/officeDocument/2006/relationships" ref="G31" display="https://huph.edu.vn/" r:id="rId74"/>
    <hyperlink xmlns:r="http://schemas.openxmlformats.org/officeDocument/2006/relationships" ref="H31" display="https://tuyensinh.huph.edu.vn/" r:id="rId75"/>
    <hyperlink xmlns:r="http://schemas.openxmlformats.org/officeDocument/2006/relationships" ref="A32" location="'HUC'!A1" display="Trường Đại học Văn hóa Hà Nội (HUC)" r:id="rId76"/>
    <hyperlink xmlns:r="http://schemas.openxmlformats.org/officeDocument/2006/relationships" ref="G32" display="https://huc.edu.vn/" r:id="rId77"/>
    <hyperlink xmlns:r="http://schemas.openxmlformats.org/officeDocument/2006/relationships" ref="H32" display="https://tuyensinh.huc.edu.vn/" r:id="rId78"/>
    <hyperlink xmlns:r="http://schemas.openxmlformats.org/officeDocument/2006/relationships" ref="A33" location="'HOU'!A1" display="Trường Đại học Mở Hà Nội (HOU)" r:id="rId79"/>
    <hyperlink xmlns:r="http://schemas.openxmlformats.org/officeDocument/2006/relationships" ref="G33" display="https://hou.edu.vn/" r:id="rId80"/>
    <hyperlink xmlns:r="http://schemas.openxmlformats.org/officeDocument/2006/relationships" ref="H33" display="https://tuyensinh.hou.edu.vn/" r:id="rId81"/>
    <hyperlink xmlns:r="http://schemas.openxmlformats.org/officeDocument/2006/relationships" ref="A34" location="'ULSA'!A1" display="Trường Đại học Lao động - Xã hội (ULSA)" r:id="rId82"/>
    <hyperlink xmlns:r="http://schemas.openxmlformats.org/officeDocument/2006/relationships" ref="G34" display="https://ulsa.edu.vn/" r:id="rId83"/>
    <hyperlink xmlns:r="http://schemas.openxmlformats.org/officeDocument/2006/relationships" ref="H34" display="https://tuyensinh.ulsa.edu.vn/" r:id="rId84"/>
    <hyperlink xmlns:r="http://schemas.openxmlformats.org/officeDocument/2006/relationships" ref="A35" location="'UTC'!A1" display="Trường Đại học Giao thông Vận tải (UTC)" r:id="rId85"/>
    <hyperlink xmlns:r="http://schemas.openxmlformats.org/officeDocument/2006/relationships" ref="G35" display="https://utc.edu.vn/" r:id="rId86"/>
    <hyperlink xmlns:r="http://schemas.openxmlformats.org/officeDocument/2006/relationships" ref="H35" display="https://tuyensinh.utc.edu.vn/" r:id="rId87"/>
    <hyperlink xmlns:r="http://schemas.openxmlformats.org/officeDocument/2006/relationships" ref="A36" location="'USTH'!A1" display="Trường Đại học Khoa học và Công nghệ Hà Nội (USTH)" r:id="rId88"/>
    <hyperlink xmlns:r="http://schemas.openxmlformats.org/officeDocument/2006/relationships" ref="G36" display="https://usth.edu.vn/" r:id="rId89"/>
    <hyperlink xmlns:r="http://schemas.openxmlformats.org/officeDocument/2006/relationships" ref="H36" display="https://tuyensinh.usth.edu.vn/" r:id="rId90"/>
    <hyperlink xmlns:r="http://schemas.openxmlformats.org/officeDocument/2006/relationships" ref="A37" location="'Phenikaa'!A1" display="Trường Đại học Phenikaa" r:id="rId91"/>
    <hyperlink xmlns:r="http://schemas.openxmlformats.org/officeDocument/2006/relationships" ref="G37" display="https://phenikaa-uni.edu.vn/" r:id="rId92"/>
    <hyperlink xmlns:r="http://schemas.openxmlformats.org/officeDocument/2006/relationships" ref="H37" display="https://tuyensinh.phenikaa-uni.edu.vn/" r:id="rId93"/>
    <hyperlink xmlns:r="http://schemas.openxmlformats.org/officeDocument/2006/relationships" ref="A38" location="'Thăng%20Long'!A1" display="Trường Đại học Thăng Long" r:id="rId94"/>
    <hyperlink xmlns:r="http://schemas.openxmlformats.org/officeDocument/2006/relationships" ref="G38" display="https://thanglong.edu.vn/" r:id="rId95"/>
    <hyperlink xmlns:r="http://schemas.openxmlformats.org/officeDocument/2006/relationships" ref="H38" display="https://tuyensinh.thanglong.edu.vn/" r:id="rId96"/>
    <hyperlink xmlns:r="http://schemas.openxmlformats.org/officeDocument/2006/relationships" ref="A39" location="'CMC'!A1" display="Trường Đại học CMC" r:id="rId97"/>
    <hyperlink xmlns:r="http://schemas.openxmlformats.org/officeDocument/2006/relationships" ref="G39" display="https://cmc-u.edu.vn/" r:id="rId98"/>
    <hyperlink xmlns:r="http://schemas.openxmlformats.org/officeDocument/2006/relationships" ref="H39" display="https://tuyensinh.cmc-u.edu.vn/" r:id="rId99"/>
    <hyperlink xmlns:r="http://schemas.openxmlformats.org/officeDocument/2006/relationships" ref="A40" location="'Đại%20Nam'!A1" display="Trường Đại học Đại Nam" r:id="rId100"/>
    <hyperlink xmlns:r="http://schemas.openxmlformats.org/officeDocument/2006/relationships" ref="G40" display="https://dainam.edu.vn/" r:id="rId101"/>
    <hyperlink xmlns:r="http://schemas.openxmlformats.org/officeDocument/2006/relationships" ref="H40" display="https://tuyensinh.dainam.edu.vn/" r:id="rId102"/>
    <hyperlink xmlns:r="http://schemas.openxmlformats.org/officeDocument/2006/relationships" ref="A41" location="'HUBT'!A1" display="Trường Đại học Kinh doanh và Công nghệ Hà Nội (HUBT)" r:id="rId103"/>
    <hyperlink xmlns:r="http://schemas.openxmlformats.org/officeDocument/2006/relationships" ref="G41" display="https://hubt.edu.vn/" r:id="rId104"/>
    <hyperlink xmlns:r="http://schemas.openxmlformats.org/officeDocument/2006/relationships" ref="H41" display="https://tuyensinh.hubt.edu.vn/" r:id="rId105"/>
    <hyperlink xmlns:r="http://schemas.openxmlformats.org/officeDocument/2006/relationships" ref="A42" location="'Việt%20-%20Hung%20(VIU)'!A1" display="Trường Đại học Công nghiệp Việt - Hung" r:id="rId106"/>
    <hyperlink xmlns:r="http://schemas.openxmlformats.org/officeDocument/2006/relationships" ref="G42" display="https://viu.edu.vn/" r:id="rId107"/>
    <hyperlink xmlns:r="http://schemas.openxmlformats.org/officeDocument/2006/relationships" ref="H42" display="https://tuyensinh.viu.edu.vn/" r:id="rId108"/>
    <hyperlink xmlns:r="http://schemas.openxmlformats.org/officeDocument/2006/relationships" ref="A43" location="'MTA'!A1" display="Học viện Kỹ thuật Quân sự (MTA)" r:id="rId109"/>
    <hyperlink xmlns:r="http://schemas.openxmlformats.org/officeDocument/2006/relationships" ref="G43" display="https://mta.edu.vn/" r:id="rId110"/>
    <hyperlink xmlns:r="http://schemas.openxmlformats.org/officeDocument/2006/relationships" ref="H43" display="https://mta.edu.vn/ (mục Tuyển sinh)" r:id="rId111"/>
    <hyperlink xmlns:r="http://schemas.openxmlformats.org/officeDocument/2006/relationships" ref="A44" location="'HV%20Quân%20y'!A1" display="Học viện Quân y" r:id="rId112"/>
    <hyperlink xmlns:r="http://schemas.openxmlformats.org/officeDocument/2006/relationships" ref="G44" display="https://hvqy.edu.vn/" r:id="rId113"/>
    <hyperlink xmlns:r="http://schemas.openxmlformats.org/officeDocument/2006/relationships" ref="H44" display="https://tuyensinh.hvqy.edu.vn/" r:id="rId114"/>
    <hyperlink xmlns:r="http://schemas.openxmlformats.org/officeDocument/2006/relationships" ref="A45" location="'HV%20KH%20Quân%20sự'!A1" display="Học viện Khoa học Quân sự" r:id="rId115"/>
    <hyperlink xmlns:r="http://schemas.openxmlformats.org/officeDocument/2006/relationships" ref="G45" display="https://hocvienkhoahocquan.su.edu.vn/ hoặc trang Bộ Quốc phòng" r:id="rId116"/>
    <hyperlink xmlns:r="http://schemas.openxmlformats.org/officeDocument/2006/relationships" ref="A46" location="'HV%20Biên%20phòng'!A1" display="Học viện Biên phòng" r:id="rId117"/>
    <hyperlink xmlns:r="http://schemas.openxmlformats.org/officeDocument/2006/relationships" ref="G46" display="https://hocvienbienphong.edu.vn/" r:id="rId118"/>
    <hyperlink xmlns:r="http://schemas.openxmlformats.org/officeDocument/2006/relationships" ref="A47" location="'HV%20Hậu%20cần'!A1" display="Học viện Hậu cần" r:id="rId119"/>
    <hyperlink xmlns:r="http://schemas.openxmlformats.org/officeDocument/2006/relationships" ref="G47" display="https://hocvienhaucan.edu.vn/" r:id="rId120"/>
    <hyperlink xmlns:r="http://schemas.openxmlformats.org/officeDocument/2006/relationships" ref="A48" location="'HV%20PK-KQ'!A1" display="Học viện Phòng không - Không quân" r:id="rId121"/>
    <hyperlink xmlns:r="http://schemas.openxmlformats.org/officeDocument/2006/relationships" ref="G48" display="https://hocvienpkkq.edu.vn/" r:id="rId122"/>
    <hyperlink xmlns:r="http://schemas.openxmlformats.org/officeDocument/2006/relationships" ref="A49" location="'SQ%20Lục%20quân%201'!A1" display="Trường Sĩ quan Lục quân 1" r:id="rId123"/>
    <hyperlink xmlns:r="http://schemas.openxmlformats.org/officeDocument/2006/relationships" ref="G49" display="https://truongsq1.edu.vn/" r:id="rId124"/>
    <hyperlink xmlns:r="http://schemas.openxmlformats.org/officeDocument/2006/relationships" ref="A50" location="'SQ%20Đặc%20công'!A1" display="Trường Sĩ quan Đặc công" r:id="rId125"/>
    <hyperlink xmlns:r="http://schemas.openxmlformats.org/officeDocument/2006/relationships" ref="G50" display="https://truongdaccong.edu.vn/" r:id="rId126"/>
    <hyperlink xmlns:r="http://schemas.openxmlformats.org/officeDocument/2006/relationships" ref="A51" location="'SQ%20Phòng%20hóa'!A1" display="Trường Sĩ quan Phòng hóa" r:id="rId127"/>
    <hyperlink xmlns:r="http://schemas.openxmlformats.org/officeDocument/2006/relationships" ref="G51" display="https://truongphonghoa.edu.vn/" r:id="rId128"/>
    <hyperlink xmlns:r="http://schemas.openxmlformats.org/officeDocument/2006/relationships" ref="A52" location="'SQ%20Pháo%20binh'!A1" display="Trường Sĩ quan Pháo binh" r:id="rId129"/>
    <hyperlink xmlns:r="http://schemas.openxmlformats.org/officeDocument/2006/relationships" ref="G52" display="https://truongphaobinh.edu.vn/" r:id="rId130"/>
    <hyperlink xmlns:r="http://schemas.openxmlformats.org/officeDocument/2006/relationships" ref="A53" location="'HV%20An%20ninh%20ND'!A1" display="Học viện An ninh nhân dân" r:id="rId131"/>
    <hyperlink xmlns:r="http://schemas.openxmlformats.org/officeDocument/2006/relationships" ref="G53" display="https://hvanninh.edu.vn/" r:id="rId132"/>
    <hyperlink xmlns:r="http://schemas.openxmlformats.org/officeDocument/2006/relationships" ref="H53" display="https://tuyensinh.hvanninh.edu.vn/" r:id="rId133"/>
    <hyperlink xmlns:r="http://schemas.openxmlformats.org/officeDocument/2006/relationships" ref="A54" location="'HV%20Cảnh%20sát%20ND'!A1" display="Học viện Cảnh sát nhân dân" r:id="rId134"/>
    <hyperlink xmlns:r="http://schemas.openxmlformats.org/officeDocument/2006/relationships" ref="G54" display="https://hvcsnd.edu.vn/" r:id="rId135"/>
    <hyperlink xmlns:r="http://schemas.openxmlformats.org/officeDocument/2006/relationships" ref="H54" display="https://tuyensinh.hvcsnd.edu.vn/" r:id="rId136"/>
    <hyperlink xmlns:r="http://schemas.openxmlformats.org/officeDocument/2006/relationships" ref="A55" location="'HV%20Chính%20trị%20CAND'!A1" display="Học viện Chính trị Công an nhân dân" r:id="rId137"/>
    <hyperlink xmlns:r="http://schemas.openxmlformats.org/officeDocument/2006/relationships" ref="G55" display="https://hocvienchinhtricand.edu.vn/" r:id="rId138"/>
    <hyperlink xmlns:r="http://schemas.openxmlformats.org/officeDocument/2006/relationships" ref="A56" location="'HV%20KT-CN%20An%20ninh'!A1" display="Học viện Kỹ thuật và Công nghệ An ninh" r:id="rId139"/>
    <hyperlink xmlns:r="http://schemas.openxmlformats.org/officeDocument/2006/relationships" ref="G56" display="https://hocvienkythuatanninh.edu.vn/" r:id="rId140"/>
    <hyperlink xmlns:r="http://schemas.openxmlformats.org/officeDocument/2006/relationships" ref="A57" location="'ĐH%20PCCC'!A1" display="Trường Đại học Phòng cháy chữa cháy" r:id="rId141"/>
    <hyperlink xmlns:r="http://schemas.openxmlformats.org/officeDocument/2006/relationships" ref="G57" display="https://daihocpccc.edu.vn/" r:id="rId142"/>
    <hyperlink xmlns:r="http://schemas.openxmlformats.org/officeDocument/2006/relationships" ref="H57" display="https://tuyensinh.daihocpccc.edu.vn/" r:id="rId143"/>
    <hyperlink xmlns:r="http://schemas.openxmlformats.org/officeDocument/2006/relationships" ref="A59" location="'TUEBA'!A1" display="Trường Đại học Kinh tế và Quản trị Kinh doanh - ĐH Thái Nguyên (TUEBA)" r:id="rId144"/>
    <hyperlink xmlns:r="http://schemas.openxmlformats.org/officeDocument/2006/relationships" ref="G59" display="https://tueba.edu.vn/" r:id="rId145"/>
    <hyperlink xmlns:r="http://schemas.openxmlformats.org/officeDocument/2006/relationships" ref="H59" display="https://tuyensinh.tueba.edu.vn/" r:id="rId146"/>
    <hyperlink xmlns:r="http://schemas.openxmlformats.org/officeDocument/2006/relationships" ref="A60" location="'ICTU'!A1" display="Trường Đại học Công nghệ Thông tin và Truyền thông - ĐH Thái Nguyên (ICTU)" r:id="rId147"/>
    <hyperlink xmlns:r="http://schemas.openxmlformats.org/officeDocument/2006/relationships" ref="G60" display="https://ictu.edu.vn/" r:id="rId148"/>
    <hyperlink xmlns:r="http://schemas.openxmlformats.org/officeDocument/2006/relationships" ref="H60" display="https://tuyensinh.ictu.edu.vn/" r:id="rId149"/>
    <hyperlink xmlns:r="http://schemas.openxmlformats.org/officeDocument/2006/relationships" ref="A61" location="'TNUT'!A1" display="Trường Đại học Kỹ thuật Công nghiệp - ĐH Thái Nguyên (TNUT)" r:id="rId150"/>
    <hyperlink xmlns:r="http://schemas.openxmlformats.org/officeDocument/2006/relationships" ref="G61" display="https://tnut.edu.vn/" r:id="rId151"/>
    <hyperlink xmlns:r="http://schemas.openxmlformats.org/officeDocument/2006/relationships" ref="H61" display="https://tuyensinh.tnut.edu.vn/" r:id="rId152"/>
    <hyperlink xmlns:r="http://schemas.openxmlformats.org/officeDocument/2006/relationships" ref="A62" location="'TUAF'!A1" display="Trường Đại học Nông Lâm - ĐH Thái Nguyên (TUAF)" r:id="rId153"/>
    <hyperlink xmlns:r="http://schemas.openxmlformats.org/officeDocument/2006/relationships" ref="G62" display="https://tuaf.edu.vn/" r:id="rId154"/>
    <hyperlink xmlns:r="http://schemas.openxmlformats.org/officeDocument/2006/relationships" ref="H62" display="https://tuyensinh.tuaf.edu.vn/" r:id="rId155"/>
    <hyperlink xmlns:r="http://schemas.openxmlformats.org/officeDocument/2006/relationships" ref="A63" location="'TUMP'!A1" display="Trường Đại học Y - Dược - ĐH Thái Nguyên (TUMP)" r:id="rId156"/>
    <hyperlink xmlns:r="http://schemas.openxmlformats.org/officeDocument/2006/relationships" ref="G63" display="https://tump.edu.vn/" r:id="rId157"/>
    <hyperlink xmlns:r="http://schemas.openxmlformats.org/officeDocument/2006/relationships" ref="H63" display="https://tuyensinh.tump.edu.vn/" r:id="rId158"/>
    <hyperlink xmlns:r="http://schemas.openxmlformats.org/officeDocument/2006/relationships" ref="A64" location="'TNUE'!A1" display="Trường Đại học Sư phạm - ĐH Thái Nguyên (TNUE)" r:id="rId159"/>
    <hyperlink xmlns:r="http://schemas.openxmlformats.org/officeDocument/2006/relationships" ref="G64" display="https://tnue.edu.vn/" r:id="rId160"/>
    <hyperlink xmlns:r="http://schemas.openxmlformats.org/officeDocument/2006/relationships" ref="H64" display="https://tuyensinh.tnue.edu.vn/" r:id="rId161"/>
    <hyperlink xmlns:r="http://schemas.openxmlformats.org/officeDocument/2006/relationships" ref="A66" location="'ĐH%20Hải%20Phòng'!A1" display="Trường Đại học Hải Phòng" r:id="rId162"/>
    <hyperlink xmlns:r="http://schemas.openxmlformats.org/officeDocument/2006/relationships" ref="G66" display="https://dhhp.edu.vn/" r:id="rId163"/>
    <hyperlink xmlns:r="http://schemas.openxmlformats.org/officeDocument/2006/relationships" ref="H66" display="https://tuyensinh.dhhp.edu.vn/" r:id="rId164"/>
    <hyperlink xmlns:r="http://schemas.openxmlformats.org/officeDocument/2006/relationships" ref="A67" location="'VMU'!A1" display="Đại học Hàng hải Việt Nam (VMU)" r:id="rId165"/>
    <hyperlink xmlns:r="http://schemas.openxmlformats.org/officeDocument/2006/relationships" ref="G67" display="https://vimaru.edu.vn/" r:id="rId166"/>
    <hyperlink xmlns:r="http://schemas.openxmlformats.org/officeDocument/2006/relationships" ref="H67" display="https://tuyensinh.vimaru.edu.vn/" r:id="rId167"/>
    <hyperlink xmlns:r="http://schemas.openxmlformats.org/officeDocument/2006/relationships" ref="A68" location="'KT%20Y%20tế%20Hải%20Dương'!A1" display="Trường Đại học Kỹ thuật Y tế Hải Dương" r:id="rId168"/>
    <hyperlink xmlns:r="http://schemas.openxmlformats.org/officeDocument/2006/relationships" ref="G68" display="https://hmt.edu.vn/" r:id="rId169"/>
    <hyperlink xmlns:r="http://schemas.openxmlformats.org/officeDocument/2006/relationships" ref="H68" display="https://tuyensinh.hmt.edu.vn/" r:id="rId170"/>
    <hyperlink xmlns:r="http://schemas.openxmlformats.org/officeDocument/2006/relationships" ref="A70" location="'UTEHY'!A1" display="Trường Đại học Sư phạm Kỹ thuật Hưng Yên (UTEHY)" r:id="rId171"/>
    <hyperlink xmlns:r="http://schemas.openxmlformats.org/officeDocument/2006/relationships" ref="G70" display="https://utehy.edu.vn/" r:id="rId172"/>
    <hyperlink xmlns:r="http://schemas.openxmlformats.org/officeDocument/2006/relationships" ref="H70" display="https://tuyensinh.utehy.edu.vn/" r:id="rId173"/>
    <hyperlink xmlns:r="http://schemas.openxmlformats.org/officeDocument/2006/relationships" ref="A72" location="'SQ%20Chính%20trị'!A1" display="Trường Đại học Chính trị (Trường Sĩ quan Chính trị)" r:id="rId174"/>
    <hyperlink xmlns:r="http://schemas.openxmlformats.org/officeDocument/2006/relationships" ref="G72" display="https://hocvienchinhtri.edu.vn/" r:id="rId175"/>
    <hyperlink xmlns:r="http://schemas.openxmlformats.org/officeDocument/2006/relationships" ref="A74" location="'SQ%20Tăng%20thiết%20giáp'!A1" display="Trường Sĩ quan Tăng thiết giáp" r:id="rId176"/>
    <hyperlink xmlns:r="http://schemas.openxmlformats.org/officeDocument/2006/relationships" ref="G74" display="https://truongttg.edu.vn/" r:id="rId177"/>
    <hyperlink xmlns:r="http://schemas.openxmlformats.org/officeDocument/2006/relationships" ref="A77" location="'ĐH%20Hồng%20Đức'!A1" display="Trường Đại học Hồng Đức" r:id="rId178"/>
    <hyperlink xmlns:r="http://schemas.openxmlformats.org/officeDocument/2006/relationships" ref="G77" display="https://hdu.edu.vn/" r:id="rId179"/>
    <hyperlink xmlns:r="http://schemas.openxmlformats.org/officeDocument/2006/relationships" ref="H77" display="https://tuyensinh.hdu.edu.vn/" r:id="rId180"/>
    <hyperlink xmlns:r="http://schemas.openxmlformats.org/officeDocument/2006/relationships" ref="A79" location="'ĐH%20Vinh'!A1" display="Trường Đại học Vinh" r:id="rId181"/>
    <hyperlink xmlns:r="http://schemas.openxmlformats.org/officeDocument/2006/relationships" ref="G79" display="https://vinhuni.edu.vn/" r:id="rId182"/>
    <hyperlink xmlns:r="http://schemas.openxmlformats.org/officeDocument/2006/relationships" ref="H79" display="https://tuyensinh.vinhuni.edu.vn/" r:id="rId183"/>
    <hyperlink xmlns:r="http://schemas.openxmlformats.org/officeDocument/2006/relationships" ref="A81" location="'HUSC'!A1" display="Trường Đại học Khoa học - Đại học Huế" r:id="rId184"/>
    <hyperlink xmlns:r="http://schemas.openxmlformats.org/officeDocument/2006/relationships" ref="G81" display="https://husc.edu.vn/" r:id="rId185"/>
    <hyperlink xmlns:r="http://schemas.openxmlformats.org/officeDocument/2006/relationships" ref="H81" display="https://tuyensinh.husc.edu.vn/" r:id="rId186"/>
    <hyperlink xmlns:r="http://schemas.openxmlformats.org/officeDocument/2006/relationships" ref="A82" location="'HCE'!A1" display="Trường Đại học Kinh tế - Đại học Huế" r:id="rId187"/>
    <hyperlink xmlns:r="http://schemas.openxmlformats.org/officeDocument/2006/relationships" ref="G82" display="https://hce.edu.vn/" r:id="rId188"/>
    <hyperlink xmlns:r="http://schemas.openxmlformats.org/officeDocument/2006/relationships" ref="H82" display="https://tuyensinh.hce.edu.vn/" r:id="rId189"/>
    <hyperlink xmlns:r="http://schemas.openxmlformats.org/officeDocument/2006/relationships" ref="A83" location="'HUL'!A1" display="Trường Đại học Luật - Đại học Huế" r:id="rId190"/>
    <hyperlink xmlns:r="http://schemas.openxmlformats.org/officeDocument/2006/relationships" ref="G83" display="https://hul.edu.vn/" r:id="rId191"/>
    <hyperlink xmlns:r="http://schemas.openxmlformats.org/officeDocument/2006/relationships" ref="H83" display="https://tuyensinh.hul.edu.vn/" r:id="rId192"/>
    <hyperlink xmlns:r="http://schemas.openxmlformats.org/officeDocument/2006/relationships" ref="A84" location="'ĐHSP%20Huế'!A1" display="Trường Đại học Sư phạm - Đại học Huế" r:id="rId193"/>
    <hyperlink xmlns:r="http://schemas.openxmlformats.org/officeDocument/2006/relationships" ref="G84" display="https://dhsphue.edu.vn/" r:id="rId194"/>
    <hyperlink xmlns:r="http://schemas.openxmlformats.org/officeDocument/2006/relationships" ref="H84" display="https://tuyensinh.dhsphue.edu.vn/" r:id="rId195"/>
    <hyperlink xmlns:r="http://schemas.openxmlformats.org/officeDocument/2006/relationships" ref="A85" location="'Y%20Dược%20Huế'!A1" display="Trường Đại học Y - Dược - Đại học Huế" r:id="rId196"/>
    <hyperlink xmlns:r="http://schemas.openxmlformats.org/officeDocument/2006/relationships" ref="G85" display="https://huemed-univ.edu.vn/" r:id="rId197"/>
    <hyperlink xmlns:r="http://schemas.openxmlformats.org/officeDocument/2006/relationships" ref="H85" display="https://tuyensinh.huemed-univ.edu.vn/" r:id="rId198"/>
    <hyperlink xmlns:r="http://schemas.openxmlformats.org/officeDocument/2006/relationships" ref="A86" location="'Nghệ%20thuật%20Huế'!A1" display="Trường Đại học Nghệ thuật - Đại học Huế" r:id="rId199"/>
    <hyperlink xmlns:r="http://schemas.openxmlformats.org/officeDocument/2006/relationships" ref="G86" display="https://hufa.edu.vn/" r:id="rId200"/>
    <hyperlink xmlns:r="http://schemas.openxmlformats.org/officeDocument/2006/relationships" ref="H86" display="https://tuyensinh.hufa.edu.vn/" r:id="rId201"/>
    <hyperlink xmlns:r="http://schemas.openxmlformats.org/officeDocument/2006/relationships" ref="A87" location="'Du%20lịch%20Huế'!A1" display="Trường Du lịch - Đại học Huế" r:id="rId202"/>
    <hyperlink xmlns:r="http://schemas.openxmlformats.org/officeDocument/2006/relationships" ref="G87" display="https://huht.edu.vn/" r:id="rId203"/>
    <hyperlink xmlns:r="http://schemas.openxmlformats.org/officeDocument/2006/relationships" ref="H87" display="https://tuyensinh.huht.edu.vn/" r:id="rId204"/>
    <hyperlink xmlns:r="http://schemas.openxmlformats.org/officeDocument/2006/relationships" ref="A88" location="'Nông%20Lâm%20Huế'!A1" display="Trường Đại học Nông Lâm - Đại học Huế" r:id="rId205"/>
    <hyperlink xmlns:r="http://schemas.openxmlformats.org/officeDocument/2006/relationships" ref="G88" display="https://huaf.edu.vn/" r:id="rId206"/>
    <hyperlink xmlns:r="http://schemas.openxmlformats.org/officeDocument/2006/relationships" ref="H88" display="https://tuyensinh.huaf.edu.vn/" r:id="rId207"/>
    <hyperlink xmlns:r="http://schemas.openxmlformats.org/officeDocument/2006/relationships" ref="A90" location="'DUT'!A1" display="Trường Đại học Bách khoa - Đại học Đà Nẵng (DUT)" r:id="rId208"/>
    <hyperlink xmlns:r="http://schemas.openxmlformats.org/officeDocument/2006/relationships" ref="G90" display="https://dut.udn.vn/" r:id="rId209"/>
    <hyperlink xmlns:r="http://schemas.openxmlformats.org/officeDocument/2006/relationships" ref="H90" display="https://tuyensinh.dut.udn.vn/" r:id="rId210"/>
    <hyperlink xmlns:r="http://schemas.openxmlformats.org/officeDocument/2006/relationships" ref="A91" location="'DUE'!A1" display="Trường Đại học Kinh tế - Đại học Đà Nẵng (DUE)" r:id="rId211"/>
    <hyperlink xmlns:r="http://schemas.openxmlformats.org/officeDocument/2006/relationships" ref="G91" display="https://due.udn.vn/" r:id="rId212"/>
    <hyperlink xmlns:r="http://schemas.openxmlformats.org/officeDocument/2006/relationships" ref="H91" display="https://tuyensinh.due.udn.vn/" r:id="rId213"/>
    <hyperlink xmlns:r="http://schemas.openxmlformats.org/officeDocument/2006/relationships" ref="A92" location="'ĐHSP%20Đà%20Nẵng'!A1" display="Trường Đại học Sư phạm - Đại học Đà Nẵng" r:id="rId214"/>
    <hyperlink xmlns:r="http://schemas.openxmlformats.org/officeDocument/2006/relationships" ref="G92" display="https://ued.udn.vn/" r:id="rId215"/>
    <hyperlink xmlns:r="http://schemas.openxmlformats.org/officeDocument/2006/relationships" ref="H92" display="https://tuyensinh.ued.udn.vn/" r:id="rId216"/>
    <hyperlink xmlns:r="http://schemas.openxmlformats.org/officeDocument/2006/relationships" ref="A93" location="'Y%20Dược%20ĐH%20Đà%20Nẵng'!A1" display="Trường Đại học Y Dược - Đại học Đà Nẵng" r:id="rId217"/>
    <hyperlink xmlns:r="http://schemas.openxmlformats.org/officeDocument/2006/relationships" ref="G93" display="https://ump.udn.vn/" r:id="rId218"/>
    <hyperlink xmlns:r="http://schemas.openxmlformats.org/officeDocument/2006/relationships" ref="H93" display="https://tuyensinh.ump.udn.vn/" r:id="rId219"/>
    <hyperlink xmlns:r="http://schemas.openxmlformats.org/officeDocument/2006/relationships" ref="A94" location="'UFL%20ĐH%20Đà%20Nẵng'!A1" display="Trường Đại học Ngoại ngữ - Đại học Đà Nẵng" r:id="rId220"/>
    <hyperlink xmlns:r="http://schemas.openxmlformats.org/officeDocument/2006/relationships" ref="G94" display="https://ufl.udn.vn/" r:id="rId221"/>
    <hyperlink xmlns:r="http://schemas.openxmlformats.org/officeDocument/2006/relationships" ref="H94" display="https://tuyensinh.ufl.udn.vn/" r:id="rId222"/>
    <hyperlink xmlns:r="http://schemas.openxmlformats.org/officeDocument/2006/relationships" ref="A95" location="'DTU'!A1" display="Trường Đại học Duy Tân (DTU)" r:id="rId223"/>
    <hyperlink xmlns:r="http://schemas.openxmlformats.org/officeDocument/2006/relationships" ref="G95" display="https://duytan.edu.vn/" r:id="rId224"/>
    <hyperlink xmlns:r="http://schemas.openxmlformats.org/officeDocument/2006/relationships" ref="H95" display="https://tuyensinh.duytan.edu.vn/" r:id="rId225"/>
    <hyperlink xmlns:r="http://schemas.openxmlformats.org/officeDocument/2006/relationships" ref="A96" location="'ĐH%20Đông%20Á'!A1" display="Trường Đại học Đông Á" r:id="rId226"/>
    <hyperlink xmlns:r="http://schemas.openxmlformats.org/officeDocument/2006/relationships" ref="G96" display="https://donga.edu.vn/" r:id="rId227"/>
    <hyperlink xmlns:r="http://schemas.openxmlformats.org/officeDocument/2006/relationships" ref="H96" display="https://tuyensinh.donga.edu.vn/" r:id="rId228"/>
    <hyperlink xmlns:r="http://schemas.openxmlformats.org/officeDocument/2006/relationships" ref="A98" location="'NTU'!A1" display="Trường Đại học Nha Trang" r:id="rId229"/>
    <hyperlink xmlns:r="http://schemas.openxmlformats.org/officeDocument/2006/relationships" ref="G98" display="https://ntu.edu.vn/" r:id="rId230"/>
    <hyperlink xmlns:r="http://schemas.openxmlformats.org/officeDocument/2006/relationships" ref="H98" display="https://tuyensinh.ntu.edu.vn/" r:id="rId231"/>
    <hyperlink xmlns:r="http://schemas.openxmlformats.org/officeDocument/2006/relationships" ref="A99" location="'HV%20Hải%20quân'!A1" display="Học viện Hải quân" r:id="rId232"/>
    <hyperlink xmlns:r="http://schemas.openxmlformats.org/officeDocument/2006/relationships" ref="G99" display="https://hocvienhaiquan.edu.vn/" r:id="rId233"/>
    <hyperlink xmlns:r="http://schemas.openxmlformats.org/officeDocument/2006/relationships" ref="A100" location="'SQ%20Thông%20tin'!A1" display="Trường Sĩ quan Thông tin (Đại học Thông tin liên lạc)" r:id="rId234"/>
    <hyperlink xmlns:r="http://schemas.openxmlformats.org/officeDocument/2006/relationships" ref="G100" display="https://truongthongtin.edu.vn/" r:id="rId235"/>
    <hyperlink xmlns:r="http://schemas.openxmlformats.org/officeDocument/2006/relationships" ref="A101" location="'SQ%20Không%20quân'!A1" display="Trường Sĩ quan Không quân" r:id="rId236"/>
    <hyperlink xmlns:r="http://schemas.openxmlformats.org/officeDocument/2006/relationships" ref="G101" display="https://truongkhongquan.edu.vn/" r:id="rId237"/>
    <hyperlink xmlns:r="http://schemas.openxmlformats.org/officeDocument/2006/relationships" ref="A103" location="'QNU'!A1" display="Trường Đại học Quy Nhơn" r:id="rId238"/>
    <hyperlink xmlns:r="http://schemas.openxmlformats.org/officeDocument/2006/relationships" ref="G103" display="https://qnu.edu.vn/" r:id="rId239"/>
    <hyperlink xmlns:r="http://schemas.openxmlformats.org/officeDocument/2006/relationships" ref="H103" display="https://tuyensinh.qnu.edu.vn/" r:id="rId240"/>
    <hyperlink xmlns:r="http://schemas.openxmlformats.org/officeDocument/2006/relationships" ref="A105" location="'DLU'!A1" display="Trường Đại học Đà Lạt" r:id="rId241"/>
    <hyperlink xmlns:r="http://schemas.openxmlformats.org/officeDocument/2006/relationships" ref="G105" display="https://dlu.edu.vn/" r:id="rId242"/>
    <hyperlink xmlns:r="http://schemas.openxmlformats.org/officeDocument/2006/relationships" ref="H105" display="https://tuyensinh.dlu.edu.vn/" r:id="rId243"/>
    <hyperlink xmlns:r="http://schemas.openxmlformats.org/officeDocument/2006/relationships" ref="A107" location="'ĐH%20Tây%20Nguyên'!A1" display="Trường Đại học Tây Nguyên" r:id="rId244"/>
    <hyperlink xmlns:r="http://schemas.openxmlformats.org/officeDocument/2006/relationships" ref="G107" display="https://ttn.edu.vn/" r:id="rId245"/>
    <hyperlink xmlns:r="http://schemas.openxmlformats.org/officeDocument/2006/relationships" ref="H107" display="https://tuyensinh.ttn.edu.vn/" r:id="rId246"/>
    <hyperlink xmlns:r="http://schemas.openxmlformats.org/officeDocument/2006/relationships" ref="A110" location="'HCMUT'!A1" display="Trường Đại học Bách khoa - ĐHQG TP.HCM (HCMUT)" r:id="rId247"/>
    <hyperlink xmlns:r="http://schemas.openxmlformats.org/officeDocument/2006/relationships" ref="G110" display="https://hcmut.edu.vn/" r:id="rId248"/>
    <hyperlink xmlns:r="http://schemas.openxmlformats.org/officeDocument/2006/relationships" ref="H110" display="https://tuyensinh.hcmut.edu.vn/ hoặc https://mybk.hcmut.edu.vn/tuyensinh/" r:id="rId249"/>
    <hyperlink xmlns:r="http://schemas.openxmlformats.org/officeDocument/2006/relationships" ref="A111" location="'HCMUS'!A1" display="Trường Đại học Khoa học Tự nhiên - ĐHQG TP.HCM (HCMUS)" r:id="rId250"/>
    <hyperlink xmlns:r="http://schemas.openxmlformats.org/officeDocument/2006/relationships" ref="G111" display="https://hcmus.edu.vn/" r:id="rId251"/>
    <hyperlink xmlns:r="http://schemas.openxmlformats.org/officeDocument/2006/relationships" ref="H111" display="https://tuyensinh.hcmus.edu.vn/" r:id="rId252"/>
    <hyperlink xmlns:r="http://schemas.openxmlformats.org/officeDocument/2006/relationships" ref="A112" location="'UIT'!A1" display="Trường Đại học Công nghệ Thông tin - ĐHQG TP.HCM (UIT)" r:id="rId253"/>
    <hyperlink xmlns:r="http://schemas.openxmlformats.org/officeDocument/2006/relationships" ref="G112" display="https://uit.edu.vn/" r:id="rId254"/>
    <hyperlink xmlns:r="http://schemas.openxmlformats.org/officeDocument/2006/relationships" ref="H112" display="https://tuyensinh.uit.edu.vn/" r:id="rId255"/>
    <hyperlink xmlns:r="http://schemas.openxmlformats.org/officeDocument/2006/relationships" ref="A113" location="'UEL'!A1" display="Trường Đại học Kinh tế - Luật - ĐHQG TP.HCM (UEL)" r:id="rId256"/>
    <hyperlink xmlns:r="http://schemas.openxmlformats.org/officeDocument/2006/relationships" ref="G113" display="https://uel.edu.vn/" r:id="rId257"/>
    <hyperlink xmlns:r="http://schemas.openxmlformats.org/officeDocument/2006/relationships" ref="H113" display="https://tuyensinh.uel.edu.vn/" r:id="rId258"/>
    <hyperlink xmlns:r="http://schemas.openxmlformats.org/officeDocument/2006/relationships" ref="A114" location="'IU%20(HCMIU)'!A1" display="Trường Đại học Quốc tế - ĐHQG TP.HCM (IU)" r:id="rId259"/>
    <hyperlink xmlns:r="http://schemas.openxmlformats.org/officeDocument/2006/relationships" ref="G114" display="https://hcmiu.edu.vn/" r:id="rId260"/>
    <hyperlink xmlns:r="http://schemas.openxmlformats.org/officeDocument/2006/relationships" ref="H114" display="https://tuyensinh.hcmiu.edu.vn/" r:id="rId261"/>
    <hyperlink xmlns:r="http://schemas.openxmlformats.org/officeDocument/2006/relationships" ref="A115" location="'USSH%20TP.HCM'!A1" display="Trường Đại học Khoa học Xã hội và Nhân văn - ĐHQG TP.HCM" r:id="rId262"/>
    <hyperlink xmlns:r="http://schemas.openxmlformats.org/officeDocument/2006/relationships" ref="G115" display="https://hcmussh.edu.vn/" r:id="rId263"/>
    <hyperlink xmlns:r="http://schemas.openxmlformats.org/officeDocument/2006/relationships" ref="H115" display="https://tuyensinh.hcmussh.edu.vn/" r:id="rId264"/>
    <hyperlink xmlns:r="http://schemas.openxmlformats.org/officeDocument/2006/relationships" ref="A116" location="'UEH'!A1" display="Đại học Kinh tế TP.HCM (UEH)" r:id="rId265"/>
    <hyperlink xmlns:r="http://schemas.openxmlformats.org/officeDocument/2006/relationships" ref="G116" display="https://ueh.edu.vn/" r:id="rId266"/>
    <hyperlink xmlns:r="http://schemas.openxmlformats.org/officeDocument/2006/relationships" ref="H116" display="https://tuyensinh.ueh.edu.vn/" r:id="rId267"/>
    <hyperlink xmlns:r="http://schemas.openxmlformats.org/officeDocument/2006/relationships" ref="A117" location="'TDTU'!A1" display="Trường Đại học Tôn Đức Thắng (TDTU)" r:id="rId268"/>
    <hyperlink xmlns:r="http://schemas.openxmlformats.org/officeDocument/2006/relationships" ref="G117" display="https://tdtu.edu.vn/" r:id="rId269"/>
    <hyperlink xmlns:r="http://schemas.openxmlformats.org/officeDocument/2006/relationships" ref="H117" display="https://tuyensinh.tdtu.edu.vn/" r:id="rId270"/>
    <hyperlink xmlns:r="http://schemas.openxmlformats.org/officeDocument/2006/relationships" ref="A118" location="'HCMUE'!A1" display="Trường Đại học Sư phạm TP.HCM (HCMUE)" r:id="rId271"/>
    <hyperlink xmlns:r="http://schemas.openxmlformats.org/officeDocument/2006/relationships" ref="G118" display="https://hcmue.edu.vn/" r:id="rId272"/>
    <hyperlink xmlns:r="http://schemas.openxmlformats.org/officeDocument/2006/relationships" ref="H118" display="https://tuyensinh.hcmue.edu.vn/" r:id="rId273"/>
    <hyperlink xmlns:r="http://schemas.openxmlformats.org/officeDocument/2006/relationships" ref="A119" location="'HCMUTE'!A1" display="Trường Đại học Sư phạm Kỹ thuật TP.HCM (HCMUTE)" r:id="rId274"/>
    <hyperlink xmlns:r="http://schemas.openxmlformats.org/officeDocument/2006/relationships" ref="G119" display="https://hcmute.edu.vn/" r:id="rId275"/>
    <hyperlink xmlns:r="http://schemas.openxmlformats.org/officeDocument/2006/relationships" ref="H119" display="https://tuyensinh.hcmute.edu.vn/" r:id="rId276"/>
    <hyperlink xmlns:r="http://schemas.openxmlformats.org/officeDocument/2006/relationships" ref="A120" location="'IUH'!A1" display="Trường Đại học Công nghiệp TP.HCM (IUH)" r:id="rId277"/>
    <hyperlink xmlns:r="http://schemas.openxmlformats.org/officeDocument/2006/relationships" ref="G120" display="https://iuh.edu.vn/" r:id="rId278"/>
    <hyperlink xmlns:r="http://schemas.openxmlformats.org/officeDocument/2006/relationships" ref="H120" display="https://tuyensinh.iuh.edu.vn/" r:id="rId279"/>
    <hyperlink xmlns:r="http://schemas.openxmlformats.org/officeDocument/2006/relationships" ref="A121" location="'HUIT'!A1" display="Trường Đại học Công Thương TP.HCM (HUIT)" r:id="rId280"/>
    <hyperlink xmlns:r="http://schemas.openxmlformats.org/officeDocument/2006/relationships" ref="G121" display="https://huit.edu.vn/" r:id="rId281"/>
    <hyperlink xmlns:r="http://schemas.openxmlformats.org/officeDocument/2006/relationships" ref="H121" display="https://tuyensinh.huit.edu.vn/" r:id="rId282"/>
    <hyperlink xmlns:r="http://schemas.openxmlformats.org/officeDocument/2006/relationships" ref="A122" location="'UTH'!A1" display="Trường Đại học Giao thông vận tải TP.HCM (UTH)" r:id="rId283"/>
    <hyperlink xmlns:r="http://schemas.openxmlformats.org/officeDocument/2006/relationships" ref="G122" display="https://ut.edu.vn/" r:id="rId284"/>
    <hyperlink xmlns:r="http://schemas.openxmlformats.org/officeDocument/2006/relationships" ref="H122" display="https://tuyensinh.ut.edu.vn/" r:id="rId285"/>
    <hyperlink xmlns:r="http://schemas.openxmlformats.org/officeDocument/2006/relationships" ref="A123" location="'OU'!A1" display="Trường Đại học Mở TP.HCM (OU)" r:id="rId286"/>
    <hyperlink xmlns:r="http://schemas.openxmlformats.org/officeDocument/2006/relationships" ref="G123" display="https://ou.edu.vn/" r:id="rId287"/>
    <hyperlink xmlns:r="http://schemas.openxmlformats.org/officeDocument/2006/relationships" ref="H123" display="https://tuyensinh.ou.edu.vn/" r:id="rId288"/>
    <hyperlink xmlns:r="http://schemas.openxmlformats.org/officeDocument/2006/relationships" ref="A124" location="'UFM'!A1" display="Trường Đại học Tài chính - Marketing (UFM)" r:id="rId289"/>
    <hyperlink xmlns:r="http://schemas.openxmlformats.org/officeDocument/2006/relationships" ref="G124" display="https://ufm.edu.vn/" r:id="rId290"/>
    <hyperlink xmlns:r="http://schemas.openxmlformats.org/officeDocument/2006/relationships" ref="H124" display="https://tuyensinh.ufm.edu.vn/" r:id="rId291"/>
    <hyperlink xmlns:r="http://schemas.openxmlformats.org/officeDocument/2006/relationships" ref="A125" location="'HUB'!A1" display="Trường Đại học Ngân hàng TP.HCM (HUB)" r:id="rId292"/>
    <hyperlink xmlns:r="http://schemas.openxmlformats.org/officeDocument/2006/relationships" ref="G125" display="https://hub.edu.vn/" r:id="rId293"/>
    <hyperlink xmlns:r="http://schemas.openxmlformats.org/officeDocument/2006/relationships" ref="H125" display="https://tuyensinh.hub.edu.vn/" r:id="rId294"/>
    <hyperlink xmlns:r="http://schemas.openxmlformats.org/officeDocument/2006/relationships" ref="A126" location="'ULAW'!A1" display="Đại học Luật TP.HCM (ULAW)" r:id="rId295"/>
    <hyperlink xmlns:r="http://schemas.openxmlformats.org/officeDocument/2006/relationships" ref="G126" display="https://hcmulaw.edu.vn/" r:id="rId296"/>
    <hyperlink xmlns:r="http://schemas.openxmlformats.org/officeDocument/2006/relationships" ref="H126" display="https://tuyensinh.hcmulaw.edu.vn/" r:id="rId297"/>
    <hyperlink xmlns:r="http://schemas.openxmlformats.org/officeDocument/2006/relationships" ref="A127" location="'UAH'!A1" display="Trường Đại học Kiến trúc TP.HCM (UAH)" r:id="rId298"/>
    <hyperlink xmlns:r="http://schemas.openxmlformats.org/officeDocument/2006/relationships" ref="G127" display="https://uah.edu.vn/" r:id="rId299"/>
    <hyperlink xmlns:r="http://schemas.openxmlformats.org/officeDocument/2006/relationships" ref="H127" display="https://tuyensinh.uah.edu.vn/" r:id="rId300"/>
    <hyperlink xmlns:r="http://schemas.openxmlformats.org/officeDocument/2006/relationships" ref="A128" location="'Mỹ%20thuật%20TP.HCM'!A1" display="Trường Đại học Mỹ thuật TP.HCM" r:id="rId301"/>
    <hyperlink xmlns:r="http://schemas.openxmlformats.org/officeDocument/2006/relationships" ref="G128" display="https://hufa.edu.vn/" r:id="rId302"/>
    <hyperlink xmlns:r="http://schemas.openxmlformats.org/officeDocument/2006/relationships" ref="H128" display="https://tuyensinh.hufa.edu.vn/" r:id="rId303"/>
    <hyperlink xmlns:r="http://schemas.openxmlformats.org/officeDocument/2006/relationships" ref="A129" location="'Văn%20hóa%20TP.HCM'!A1" display="Trường Đại học Văn hóa TP.HCM" r:id="rId304"/>
    <hyperlink xmlns:r="http://schemas.openxmlformats.org/officeDocument/2006/relationships" ref="G129" display="https://hcmuc.edu.vn/" r:id="rId305"/>
    <hyperlink xmlns:r="http://schemas.openxmlformats.org/officeDocument/2006/relationships" ref="H129" display="https://tuyensinh.hcmuc.edu.vn/" r:id="rId306"/>
    <hyperlink xmlns:r="http://schemas.openxmlformats.org/officeDocument/2006/relationships" ref="A130" location="'UMP'!A1" display="Đại học Y Dược TP.HCM (UMP)" r:id="rId307"/>
    <hyperlink xmlns:r="http://schemas.openxmlformats.org/officeDocument/2006/relationships" ref="G130" display="https://ump.edu.vn/" r:id="rId308"/>
    <hyperlink xmlns:r="http://schemas.openxmlformats.org/officeDocument/2006/relationships" ref="H130" display="https://tuyensinh.ump.edu.vn/" r:id="rId309"/>
    <hyperlink xmlns:r="http://schemas.openxmlformats.org/officeDocument/2006/relationships" ref="A131" location="'PNT'!A1" display="Trường Đại học Y khoa Phạm Ngọc Thạch" r:id="rId310"/>
    <hyperlink xmlns:r="http://schemas.openxmlformats.org/officeDocument/2006/relationships" ref="G131" display="https://pnt.edu.vn/" r:id="rId311"/>
    <hyperlink xmlns:r="http://schemas.openxmlformats.org/officeDocument/2006/relationships" ref="H131" display="https://tuyensinh.pnt.edu.vn/" r:id="rId312"/>
    <hyperlink xmlns:r="http://schemas.openxmlformats.org/officeDocument/2006/relationships" ref="A132" location="'NLU'!A1" display="Trường Đại học Nông Lâm TP.HCM (NLU)" r:id="rId313"/>
    <hyperlink xmlns:r="http://schemas.openxmlformats.org/officeDocument/2006/relationships" ref="G132" display="https://hcmuaf.edu.vn/" r:id="rId314"/>
    <hyperlink xmlns:r="http://schemas.openxmlformats.org/officeDocument/2006/relationships" ref="H132" display="https://tuyensinh.hcmuaf.edu.vn/" r:id="rId315"/>
    <hyperlink xmlns:r="http://schemas.openxmlformats.org/officeDocument/2006/relationships" ref="A133" location="'HCMUNRE'!A1" display="Trường Đại học Tài nguyên và Môi trường TP.HCM" r:id="rId316"/>
    <hyperlink xmlns:r="http://schemas.openxmlformats.org/officeDocument/2006/relationships" ref="G133" display="https://hcmunre.edu.vn/" r:id="rId317"/>
    <hyperlink xmlns:r="http://schemas.openxmlformats.org/officeDocument/2006/relationships" ref="H133" display="https://tuyensinh.hcmunre.edu.vn/" r:id="rId318"/>
    <hyperlink xmlns:r="http://schemas.openxmlformats.org/officeDocument/2006/relationships" ref="A134" location="'HUTECH'!A1" display="Trường Đại học Công nghệ TP.HCM (HUTECH)" r:id="rId319"/>
    <hyperlink xmlns:r="http://schemas.openxmlformats.org/officeDocument/2006/relationships" ref="G134" display="https://hutech.edu.vn/" r:id="rId320"/>
    <hyperlink xmlns:r="http://schemas.openxmlformats.org/officeDocument/2006/relationships" ref="H134" display="https://tuyensinh.hutech.edu.vn/" r:id="rId321"/>
    <hyperlink xmlns:r="http://schemas.openxmlformats.org/officeDocument/2006/relationships" ref="A135" location="'UEF'!A1" display="Trường Đại học Kinh tế - Tài chính TP.HCM (UEF)" r:id="rId322"/>
    <hyperlink xmlns:r="http://schemas.openxmlformats.org/officeDocument/2006/relationships" ref="G135" display="https://uef.edu.vn/" r:id="rId323"/>
    <hyperlink xmlns:r="http://schemas.openxmlformats.org/officeDocument/2006/relationships" ref="H135" display="https://tuyensinh.uef.edu.vn/" r:id="rId324"/>
    <hyperlink xmlns:r="http://schemas.openxmlformats.org/officeDocument/2006/relationships" ref="A136" location="'Hoa%20Sen'!A1" display="Trường Đại học Hoa Sen" r:id="rId325"/>
    <hyperlink xmlns:r="http://schemas.openxmlformats.org/officeDocument/2006/relationships" ref="G136" display="https://hoasen.edu.vn/" r:id="rId326"/>
    <hyperlink xmlns:r="http://schemas.openxmlformats.org/officeDocument/2006/relationships" ref="H136" display="https://tuyensinh.hoasen.edu.vn/" r:id="rId327"/>
    <hyperlink xmlns:r="http://schemas.openxmlformats.org/officeDocument/2006/relationships" ref="A137" location="'NTT'!A1" display="Trường Đại học Nguyễn Tất Thành" r:id="rId328"/>
    <hyperlink xmlns:r="http://schemas.openxmlformats.org/officeDocument/2006/relationships" ref="G137" display="https://ntt.edu.vn/" r:id="rId329"/>
    <hyperlink xmlns:r="http://schemas.openxmlformats.org/officeDocument/2006/relationships" ref="H137" display="https://tuyensinh.ntt.edu.vn/" r:id="rId330"/>
    <hyperlink xmlns:r="http://schemas.openxmlformats.org/officeDocument/2006/relationships" ref="A138" location="'Văn%20Lang'!A1" display="Trường Đại học Văn Lang" r:id="rId331"/>
    <hyperlink xmlns:r="http://schemas.openxmlformats.org/officeDocument/2006/relationships" ref="G138" display="https://vanlanguni.edu.vn/" r:id="rId332"/>
    <hyperlink xmlns:r="http://schemas.openxmlformats.org/officeDocument/2006/relationships" ref="H138" display="https://tuyensinh.vanlanguni.edu.vn/" r:id="rId333"/>
    <hyperlink xmlns:r="http://schemas.openxmlformats.org/officeDocument/2006/relationships" ref="A139" location="'VGU'!A1" display="Trường Đại học Việt - Đức (VGU)" r:id="rId334"/>
    <hyperlink xmlns:r="http://schemas.openxmlformats.org/officeDocument/2006/relationships" ref="G139" display="https://vgu.edu.vn/" r:id="rId335"/>
    <hyperlink xmlns:r="http://schemas.openxmlformats.org/officeDocument/2006/relationships" ref="H139" display="https://tuyensinh.vgu.edu.vn/" r:id="rId336"/>
    <hyperlink xmlns:r="http://schemas.openxmlformats.org/officeDocument/2006/relationships" ref="A140" location="'Thủ%20Dầu%20Một'!A1" display="Trường Đại học Thủ Dầu Một" r:id="rId337"/>
    <hyperlink xmlns:r="http://schemas.openxmlformats.org/officeDocument/2006/relationships" ref="G140" display="https://tdmu.edu.vn/" r:id="rId338"/>
    <hyperlink xmlns:r="http://schemas.openxmlformats.org/officeDocument/2006/relationships" ref="H140" display="https://tuyensinh.tdmu.edu.vn/" r:id="rId339"/>
    <hyperlink xmlns:r="http://schemas.openxmlformats.org/officeDocument/2006/relationships" ref="A141" location="'SQ%20Công%20binh'!A1" display="Trường Sĩ quan Công binh" r:id="rId340"/>
    <hyperlink xmlns:r="http://schemas.openxmlformats.org/officeDocument/2006/relationships" ref="G141" display="https://truongcongbinh.edu.vn/" r:id="rId341"/>
    <hyperlink xmlns:r="http://schemas.openxmlformats.org/officeDocument/2006/relationships" ref="A142" location="'ĐH%20An%20ninh%20ND'!A1" display="Trường Đại học An ninh nhân dân" r:id="rId342"/>
    <hyperlink xmlns:r="http://schemas.openxmlformats.org/officeDocument/2006/relationships" ref="G142" display="https://dhanninh.edu.vn/" r:id="rId343"/>
    <hyperlink xmlns:r="http://schemas.openxmlformats.org/officeDocument/2006/relationships" ref="H142" display="https://tuyensinh.dhanninh.edu.vn/" r:id="rId344"/>
    <hyperlink xmlns:r="http://schemas.openxmlformats.org/officeDocument/2006/relationships" ref="A143" location="'ĐH%20Cảnh%20sát%20ND'!A1" display="Trường Đại học Cảnh sát nhân dân" r:id="rId345"/>
    <hyperlink xmlns:r="http://schemas.openxmlformats.org/officeDocument/2006/relationships" ref="G143" display="https://dhcsnd.edu.vn/" r:id="rId346"/>
    <hyperlink xmlns:r="http://schemas.openxmlformats.org/officeDocument/2006/relationships" ref="H143" display="https://tuyensinh.dhcsnd.edu.vn/" r:id="rId347"/>
    <hyperlink xmlns:r="http://schemas.openxmlformats.org/officeDocument/2006/relationships" ref="A145" location="'Lạc%20Hồng'!A1" display="Trường Đại học Lạc Hồng" r:id="rId348"/>
    <hyperlink xmlns:r="http://schemas.openxmlformats.org/officeDocument/2006/relationships" ref="G145" display="https://lhu.edu.vn/" r:id="rId349"/>
    <hyperlink xmlns:r="http://schemas.openxmlformats.org/officeDocument/2006/relationships" ref="H145" display="https://tuyensinh.lhu.edu.vn/" r:id="rId350"/>
    <hyperlink xmlns:r="http://schemas.openxmlformats.org/officeDocument/2006/relationships" ref="A146" location="'SQ%20Lục%20quân%202'!A1" display="Trường Sĩ quan Lục quân 2 (Đại học Nguyễn Huệ)" r:id="rId351"/>
    <hyperlink xmlns:r="http://schemas.openxmlformats.org/officeDocument/2006/relationships" ref="G146" display="https://daihocnguyenHue.edu.vn/" r:id="rId352"/>
    <hyperlink xmlns:r="http://schemas.openxmlformats.org/officeDocument/2006/relationships" ref="A148" location="'CTU'!A1" display="Trường Đại học Cần Thơ (CTU)" r:id="rId353"/>
    <hyperlink xmlns:r="http://schemas.openxmlformats.org/officeDocument/2006/relationships" ref="G148" display="https://ctu.edu.vn/" r:id="rId354"/>
    <hyperlink xmlns:r="http://schemas.openxmlformats.org/officeDocument/2006/relationships" ref="H148" display="https://tuyensinh.ctu.edu.vn/" r:id="rId355"/>
    <hyperlink xmlns:r="http://schemas.openxmlformats.org/officeDocument/2006/relationships" ref="A151" location="'SQ%20KT%20Quân%20sự'!A1" display="Trường Sĩ quan Kỹ thuật Quân sự (Đại học Trần Đại Nghĩa)" r:id="rId356"/>
    <hyperlink xmlns:r="http://schemas.openxmlformats.org/officeDocument/2006/relationships" ref="G151" display="https://trandainghia.edu.vn/" r:id="rId357"/>
    <hyperlink xmlns:r="http://schemas.openxmlformats.org/officeDocument/2006/relationships" ref="A152" location="'HV%20Quốc%20tế%20(AIS)'!A1" display="Học viện Quốc tế (AIS)" r:id="rId358"/>
    <hyperlink xmlns:r="http://schemas.openxmlformats.org/officeDocument/2006/relationships" ref="G152" display="https://ais.edu.vn/" r:id="rId359"/>
    <hyperlink xmlns:r="http://schemas.openxmlformats.org/officeDocument/2006/relationships" ref="H152" display="https://tuyensinh.ais.edu.vn/" r:id="rId36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7F7F7F"/>
    <outlinePr summaryBelow="1" summaryRight="1"/>
    <pageSetUpPr fitToPage="0"/>
  </sheetPr>
  <dimension ref="A1:K1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34" min="1" max="1"/>
    <col width="58" customWidth="1" style="34" min="2" max="2"/>
    <col width="12" customWidth="1" style="34" min="3" max="3"/>
    <col width="14" customWidth="1" style="34" min="4" max="4"/>
    <col width="18" customWidth="1" style="34" min="5" max="6"/>
    <col width="24" customWidth="1" style="34" min="7" max="7"/>
    <col width="10" customWidth="1" style="34" min="8" max="8"/>
    <col width="34" customWidth="1" style="34" min="9" max="9"/>
    <col width="44" customWidth="1" style="34" min="10" max="10"/>
    <col width="46" customWidth="1" style="34" min="11" max="11"/>
  </cols>
  <sheetData>
    <row r="1" ht="35.05" customHeight="1" s="35">
      <c r="A1" s="38" t="inlineStr">
        <is>
          <t>STT (file gốc)</t>
        </is>
      </c>
      <c r="B1" s="38" t="inlineStr">
        <is>
          <t>Tên trường</t>
        </is>
      </c>
      <c r="C1" s="38" t="inlineStr">
        <is>
          <t>Viết tắt</t>
        </is>
      </c>
      <c r="D1" s="38" t="inlineStr">
        <is>
          <t>Miền</t>
        </is>
      </c>
      <c r="E1" s="38" t="inlineStr">
        <is>
          <t>Tỉnh/TP (mới)</t>
        </is>
      </c>
      <c r="F1" s="38" t="inlineStr">
        <is>
          <t>Tỉnh/TP (cũ)</t>
        </is>
      </c>
      <c r="G1" s="38" t="inlineStr">
        <is>
          <t>Sheet ngành</t>
        </is>
      </c>
      <c r="H1" s="38" t="inlineStr">
        <is>
          <t>Số ngành</t>
        </is>
      </c>
      <c r="I1" s="38" t="inlineStr">
        <is>
          <t>Trang chủ</t>
        </is>
      </c>
      <c r="J1" s="38" t="inlineStr">
        <is>
          <t>Trang tuyển sinh</t>
        </is>
      </c>
      <c r="K1" s="38" t="inlineStr">
        <is>
          <t>Ghi chú</t>
        </is>
      </c>
    </row>
    <row r="2" ht="15" customHeight="1" s="35">
      <c r="A2" s="48" t="n">
        <v>1</v>
      </c>
      <c r="B2" s="47" t="inlineStr">
        <is>
          <t>Đại học Bách khoa Hà Nội (HUST)</t>
        </is>
      </c>
      <c r="C2" s="47" t="inlineStr">
        <is>
          <t>HUST</t>
        </is>
      </c>
      <c r="D2" s="47" t="inlineStr">
        <is>
          <t>Miền Bắc</t>
        </is>
      </c>
      <c r="E2" s="47" t="inlineStr">
        <is>
          <t>Hà Nội</t>
        </is>
      </c>
      <c r="F2" s="47" t="inlineStr">
        <is>
          <t>Hà Nội</t>
        </is>
      </c>
      <c r="G2" s="49" t="inlineStr">
        <is>
          <t>HUST</t>
        </is>
      </c>
      <c r="H2" s="48">
        <f>COUNTA(HUST!$B$11:$B$500)</f>
        <v/>
      </c>
      <c r="I2" s="49" t="inlineStr">
        <is>
          <t>https://hust.edu.vn/</t>
        </is>
      </c>
      <c r="J2" s="49" t="inlineStr">
        <is>
          <t>https://ts.hust.edu.vn/</t>
        </is>
      </c>
      <c r="K2" s="63" t="n"/>
    </row>
    <row r="3" ht="15" customHeight="1" s="35">
      <c r="A3" s="48" t="n">
        <v>2</v>
      </c>
      <c r="B3" s="47" t="inlineStr">
        <is>
          <t>Đại học Kinh tế Quốc dân (NEU)</t>
        </is>
      </c>
      <c r="C3" s="47" t="inlineStr">
        <is>
          <t>NEU</t>
        </is>
      </c>
      <c r="D3" s="47" t="inlineStr">
        <is>
          <t>Miền Bắc</t>
        </is>
      </c>
      <c r="E3" s="47" t="inlineStr">
        <is>
          <t>Hà Nội</t>
        </is>
      </c>
      <c r="F3" s="47" t="inlineStr">
        <is>
          <t>Hà Nội</t>
        </is>
      </c>
      <c r="G3" s="49" t="inlineStr">
        <is>
          <t>NEU</t>
        </is>
      </c>
      <c r="H3" s="48">
        <f>COUNTA(NEU!$B$11:$B$500)</f>
        <v/>
      </c>
      <c r="I3" s="49" t="inlineStr">
        <is>
          <t>https://neu.edu.vn/</t>
        </is>
      </c>
      <c r="J3" s="49" t="inlineStr">
        <is>
          <t>https://daotao.neu.edu.vn/ hoặc https://xtkh.neu.edu.vn</t>
        </is>
      </c>
      <c r="K3" s="63" t="n"/>
    </row>
    <row r="4" ht="15" customHeight="1" s="35">
      <c r="A4" s="48" t="n">
        <v>3</v>
      </c>
      <c r="B4" s="47" t="inlineStr">
        <is>
          <t>Đại học Ngoại thương (FTU)</t>
        </is>
      </c>
      <c r="C4" s="47" t="inlineStr">
        <is>
          <t>FTU</t>
        </is>
      </c>
      <c r="D4" s="47" t="inlineStr">
        <is>
          <t>Miền Bắc</t>
        </is>
      </c>
      <c r="E4" s="47" t="inlineStr">
        <is>
          <t>Hà Nội</t>
        </is>
      </c>
      <c r="F4" s="47" t="inlineStr">
        <is>
          <t>Hà Nội</t>
        </is>
      </c>
      <c r="G4" s="49" t="inlineStr">
        <is>
          <t>FTU</t>
        </is>
      </c>
      <c r="H4" s="48">
        <f>COUNTA(FTU!$B$11:$B$500)</f>
        <v/>
      </c>
      <c r="I4" s="49" t="inlineStr">
        <is>
          <t>https://ftu.edu.vn/</t>
        </is>
      </c>
      <c r="J4" s="49" t="inlineStr">
        <is>
          <t>https://tuyensinh.ftu.edu.vn/ hoặc https://thongtintuyensinh.ftu.edu.vn/</t>
        </is>
      </c>
      <c r="K4" s="63" t="n"/>
    </row>
    <row r="5" ht="15" customHeight="1" s="35">
      <c r="A5" s="48" t="n">
        <v>4</v>
      </c>
      <c r="B5" s="47" t="inlineStr">
        <is>
          <t>Đại học Thương mại (TMU)</t>
        </is>
      </c>
      <c r="C5" s="47" t="inlineStr">
        <is>
          <t>TMU</t>
        </is>
      </c>
      <c r="D5" s="47" t="inlineStr">
        <is>
          <t>Miền Bắc</t>
        </is>
      </c>
      <c r="E5" s="47" t="inlineStr">
        <is>
          <t>Hà Nội</t>
        </is>
      </c>
      <c r="F5" s="47" t="inlineStr">
        <is>
          <t>Hà Nội</t>
        </is>
      </c>
      <c r="G5" s="49" t="inlineStr">
        <is>
          <t>TMU</t>
        </is>
      </c>
      <c r="H5" s="48">
        <f>COUNTA(TMU!$B$11:$B$500)</f>
        <v/>
      </c>
      <c r="I5" s="49" t="inlineStr">
        <is>
          <t>https://tmu.edu.vn/</t>
        </is>
      </c>
      <c r="J5" s="49" t="inlineStr">
        <is>
          <t>https://tuyensinh.tmu.edu.vn/</t>
        </is>
      </c>
      <c r="K5" s="63" t="n"/>
    </row>
    <row r="6" ht="15" customHeight="1" s="35">
      <c r="A6" s="48" t="n">
        <v>5</v>
      </c>
      <c r="B6" s="47" t="inlineStr">
        <is>
          <t>Trường Đại học Luật Hà Nội (HLU)</t>
        </is>
      </c>
      <c r="C6" s="47" t="inlineStr">
        <is>
          <t>HLU</t>
        </is>
      </c>
      <c r="D6" s="47" t="inlineStr">
        <is>
          <t>Miền Bắc</t>
        </is>
      </c>
      <c r="E6" s="47" t="inlineStr">
        <is>
          <t>Hà Nội</t>
        </is>
      </c>
      <c r="F6" s="47" t="inlineStr">
        <is>
          <t>Hà Nội</t>
        </is>
      </c>
      <c r="G6" s="49" t="inlineStr">
        <is>
          <t>HLU</t>
        </is>
      </c>
      <c r="H6" s="48">
        <f>COUNTA(HLU!$B$11:$B$500)</f>
        <v/>
      </c>
      <c r="I6" s="49" t="inlineStr">
        <is>
          <t>https://hlu.edu.vn/</t>
        </is>
      </c>
      <c r="J6" s="49" t="inlineStr">
        <is>
          <t>https://tuyensinh.hlu.edu.vn/</t>
        </is>
      </c>
      <c r="K6" s="63" t="n"/>
    </row>
    <row r="7" ht="15" customHeight="1" s="35">
      <c r="A7" s="48" t="n">
        <v>6</v>
      </c>
      <c r="B7" s="47" t="inlineStr">
        <is>
          <t>Trường Đại học Khoa học Tự nhiên - ĐHQG Hà Nội (VNU-HUS)</t>
        </is>
      </c>
      <c r="C7" s="47" t="inlineStr">
        <is>
          <t>VNU-HUS</t>
        </is>
      </c>
      <c r="D7" s="47" t="inlineStr">
        <is>
          <t>Miền Bắc</t>
        </is>
      </c>
      <c r="E7" s="47" t="inlineStr">
        <is>
          <t>Hà Nội</t>
        </is>
      </c>
      <c r="F7" s="47" t="inlineStr">
        <is>
          <t>Hà Nội</t>
        </is>
      </c>
      <c r="G7" s="49" t="inlineStr">
        <is>
          <t>VNU-HUS</t>
        </is>
      </c>
      <c r="H7" s="48">
        <f>COUNTA('VNU-HUS'!$B$11:$B$500)</f>
        <v/>
      </c>
      <c r="I7" s="49" t="inlineStr">
        <is>
          <t>https://hus.vnu.edu.vn/</t>
        </is>
      </c>
      <c r="J7" s="49" t="inlineStr">
        <is>
          <t>https://tuyensinh.hus.vnu.edu.vn/</t>
        </is>
      </c>
      <c r="K7" s="63" t="n"/>
    </row>
    <row r="8" ht="15" customHeight="1" s="35">
      <c r="A8" s="48" t="n">
        <v>7</v>
      </c>
      <c r="B8" s="47" t="inlineStr">
        <is>
          <t>Trường Đại học Công nghệ - ĐHQG Hà Nội (VNU-UET)</t>
        </is>
      </c>
      <c r="C8" s="47" t="inlineStr">
        <is>
          <t>VNU-UET</t>
        </is>
      </c>
      <c r="D8" s="47" t="inlineStr">
        <is>
          <t>Miền Bắc</t>
        </is>
      </c>
      <c r="E8" s="47" t="inlineStr">
        <is>
          <t>Hà Nội</t>
        </is>
      </c>
      <c r="F8" s="47" t="inlineStr">
        <is>
          <t>Hà Nội</t>
        </is>
      </c>
      <c r="G8" s="49" t="inlineStr">
        <is>
          <t>VNU-UET</t>
        </is>
      </c>
      <c r="H8" s="48">
        <f>COUNTA('VNU-UET'!$B$11:$B$500)</f>
        <v/>
      </c>
      <c r="I8" s="49" t="inlineStr">
        <is>
          <t>https://uet.vnu.edu.vn/</t>
        </is>
      </c>
      <c r="J8" s="49" t="inlineStr">
        <is>
          <t>https://tuyensinh.uet.vnu.edu.vn/</t>
        </is>
      </c>
      <c r="K8" s="63" t="n"/>
    </row>
    <row r="9" ht="15" customHeight="1" s="35">
      <c r="A9" s="48" t="n">
        <v>8</v>
      </c>
      <c r="B9" s="47" t="inlineStr">
        <is>
          <t>Trường Đại học Kinh tế - ĐHQG Hà Nội (VNU-UEB)</t>
        </is>
      </c>
      <c r="C9" s="47" t="inlineStr">
        <is>
          <t>VNU-UEB</t>
        </is>
      </c>
      <c r="D9" s="47" t="inlineStr">
        <is>
          <t>Miền Bắc</t>
        </is>
      </c>
      <c r="E9" s="47" t="inlineStr">
        <is>
          <t>Hà Nội</t>
        </is>
      </c>
      <c r="F9" s="47" t="inlineStr">
        <is>
          <t>Hà Nội</t>
        </is>
      </c>
      <c r="G9" s="49" t="inlineStr">
        <is>
          <t>VNU-UEB</t>
        </is>
      </c>
      <c r="H9" s="48">
        <f>COUNTA('VNU-UEB'!$B$11:$B$500)</f>
        <v/>
      </c>
      <c r="I9" s="49" t="inlineStr">
        <is>
          <t>https://ueb.vnu.edu.vn/</t>
        </is>
      </c>
      <c r="J9" s="49" t="inlineStr">
        <is>
          <t>https://tuyensinh.ueb.edu.vn/</t>
        </is>
      </c>
      <c r="K9" s="63" t="n"/>
    </row>
    <row r="10" ht="15" customHeight="1" s="35">
      <c r="A10" s="48" t="n">
        <v>9</v>
      </c>
      <c r="B10" s="47" t="inlineStr">
        <is>
          <t>Trường Đại học Khoa học Xã hội và Nhân văn - ĐHQG Hà Nội (VNU-USSH)</t>
        </is>
      </c>
      <c r="C10" s="47" t="inlineStr">
        <is>
          <t>VNU-USSH</t>
        </is>
      </c>
      <c r="D10" s="47" t="inlineStr">
        <is>
          <t>Miền Bắc</t>
        </is>
      </c>
      <c r="E10" s="47" t="inlineStr">
        <is>
          <t>Hà Nội</t>
        </is>
      </c>
      <c r="F10" s="47" t="inlineStr">
        <is>
          <t>Hà Nội</t>
        </is>
      </c>
      <c r="G10" s="49" t="inlineStr">
        <is>
          <t>VNU-USSH</t>
        </is>
      </c>
      <c r="H10" s="48">
        <f>COUNTA('VNU-USSH'!$B$11:$B$500)</f>
        <v/>
      </c>
      <c r="I10" s="49" t="inlineStr">
        <is>
          <t>https://ussh.vnu.edu.vn/</t>
        </is>
      </c>
      <c r="J10" s="49" t="inlineStr">
        <is>
          <t>https://tuyensinh.ussh.edu.vn/</t>
        </is>
      </c>
      <c r="K10" s="63" t="n"/>
    </row>
    <row r="11" ht="15" customHeight="1" s="35">
      <c r="A11" s="48" t="n">
        <v>10</v>
      </c>
      <c r="B11" s="47" t="inlineStr">
        <is>
          <t>Trường Đại học Ngoại ngữ - ĐHQG Hà Nội (VNU-ULIS)</t>
        </is>
      </c>
      <c r="C11" s="47" t="inlineStr">
        <is>
          <t>VNU-ULIS</t>
        </is>
      </c>
      <c r="D11" s="47" t="inlineStr">
        <is>
          <t>Miền Bắc</t>
        </is>
      </c>
      <c r="E11" s="47" t="inlineStr">
        <is>
          <t>Hà Nội</t>
        </is>
      </c>
      <c r="F11" s="47" t="inlineStr">
        <is>
          <t>Hà Nội</t>
        </is>
      </c>
      <c r="G11" s="49" t="inlineStr">
        <is>
          <t>VNU-ULIS</t>
        </is>
      </c>
      <c r="H11" s="48">
        <f>COUNTA('VNU-ULIS'!$B$11:$B$500)</f>
        <v/>
      </c>
      <c r="I11" s="49" t="inlineStr">
        <is>
          <t>https://ulis.vnu.edu.vn/</t>
        </is>
      </c>
      <c r="J11" s="49" t="inlineStr">
        <is>
          <t>https://tuyensinh.ulis.vnu.edu.vn/</t>
        </is>
      </c>
      <c r="K11" s="63" t="n"/>
    </row>
    <row r="12" ht="15" customHeight="1" s="35">
      <c r="A12" s="48" t="n">
        <v>11</v>
      </c>
      <c r="B12" s="47" t="inlineStr">
        <is>
          <t>Trường Đại học Giáo dục - ĐHQG Hà Nội (VNU-UED)</t>
        </is>
      </c>
      <c r="C12" s="47" t="inlineStr">
        <is>
          <t>VNU-UED</t>
        </is>
      </c>
      <c r="D12" s="47" t="inlineStr">
        <is>
          <t>Miền Bắc</t>
        </is>
      </c>
      <c r="E12" s="47" t="inlineStr">
        <is>
          <t>Hà Nội</t>
        </is>
      </c>
      <c r="F12" s="47" t="inlineStr">
        <is>
          <t>Hà Nội</t>
        </is>
      </c>
      <c r="G12" s="49" t="inlineStr">
        <is>
          <t>VNU-UED</t>
        </is>
      </c>
      <c r="H12" s="48">
        <f>COUNTA('VNU-UED'!$B$11:$B$500)</f>
        <v/>
      </c>
      <c r="I12" s="49" t="inlineStr">
        <is>
          <t>https://education.vnu.edu.vn/</t>
        </is>
      </c>
      <c r="J12" s="49" t="inlineStr">
        <is>
          <t>https://education.vnu.edu.vn/</t>
        </is>
      </c>
      <c r="K12" s="63" t="n"/>
    </row>
    <row r="13" ht="15" customHeight="1" s="35">
      <c r="A13" s="48" t="n">
        <v>12</v>
      </c>
      <c r="B13" s="47" t="inlineStr">
        <is>
          <t>Đại học Xây dựng Hà Nội (HUCE)</t>
        </is>
      </c>
      <c r="C13" s="47" t="inlineStr">
        <is>
          <t>HUCE</t>
        </is>
      </c>
      <c r="D13" s="47" t="inlineStr">
        <is>
          <t>Miền Bắc</t>
        </is>
      </c>
      <c r="E13" s="47" t="inlineStr">
        <is>
          <t>Hà Nội</t>
        </is>
      </c>
      <c r="F13" s="47" t="inlineStr">
        <is>
          <t>Hà Nội</t>
        </is>
      </c>
      <c r="G13" s="49" t="inlineStr">
        <is>
          <t>HUCE</t>
        </is>
      </c>
      <c r="H13" s="48">
        <f>COUNTA(HUCE!$B$11:$B$500)</f>
        <v/>
      </c>
      <c r="I13" s="49" t="inlineStr">
        <is>
          <t>https://huce.edu.vn/</t>
        </is>
      </c>
      <c r="J13" s="49" t="inlineStr">
        <is>
          <t>https://tuyensinh.huce.edu.vn/</t>
        </is>
      </c>
      <c r="K13" s="63" t="n"/>
    </row>
    <row r="14" ht="15" customHeight="1" s="35">
      <c r="A14" s="48" t="n">
        <v>13</v>
      </c>
      <c r="B14" s="47" t="inlineStr">
        <is>
          <t>Trường Đại học Kiến trúc Hà Nội (HAU)</t>
        </is>
      </c>
      <c r="C14" s="47" t="inlineStr">
        <is>
          <t>HAU</t>
        </is>
      </c>
      <c r="D14" s="47" t="inlineStr">
        <is>
          <t>Miền Bắc</t>
        </is>
      </c>
      <c r="E14" s="47" t="inlineStr">
        <is>
          <t>Hà Nội</t>
        </is>
      </c>
      <c r="F14" s="47" t="inlineStr">
        <is>
          <t>Hà Nội</t>
        </is>
      </c>
      <c r="G14" s="49" t="inlineStr">
        <is>
          <t>HAU</t>
        </is>
      </c>
      <c r="H14" s="48">
        <f>COUNTA(HAU!$B$11:$B$500)</f>
        <v/>
      </c>
      <c r="I14" s="49" t="inlineStr">
        <is>
          <t>https://hau.edu.vn/</t>
        </is>
      </c>
      <c r="J14" s="49" t="inlineStr">
        <is>
          <t>https://tuyensinh.hau.edu.vn/</t>
        </is>
      </c>
      <c r="K14" s="63" t="n"/>
    </row>
    <row r="15" ht="15" customHeight="1" s="35">
      <c r="A15" s="48" t="n">
        <v>14</v>
      </c>
      <c r="B15" s="47" t="inlineStr">
        <is>
          <t>Trường Đại học Thủy lợi (TLU)</t>
        </is>
      </c>
      <c r="C15" s="47" t="inlineStr">
        <is>
          <t>TLU</t>
        </is>
      </c>
      <c r="D15" s="47" t="inlineStr">
        <is>
          <t>Miền Bắc</t>
        </is>
      </c>
      <c r="E15" s="47" t="inlineStr">
        <is>
          <t>Hà Nội</t>
        </is>
      </c>
      <c r="F15" s="47" t="inlineStr">
        <is>
          <t>Hà Nội</t>
        </is>
      </c>
      <c r="G15" s="49" t="inlineStr">
        <is>
          <t>TLU</t>
        </is>
      </c>
      <c r="H15" s="48">
        <f>COUNTA(TLU!$B$11:$B$500)</f>
        <v/>
      </c>
      <c r="I15" s="49" t="inlineStr">
        <is>
          <t>https://tlu.edu.vn/</t>
        </is>
      </c>
      <c r="J15" s="49" t="inlineStr">
        <is>
          <t>https://tuyensinh.tlu.edu.vn/</t>
        </is>
      </c>
      <c r="K15" s="63" t="n"/>
    </row>
    <row r="16" ht="15" customHeight="1" s="35">
      <c r="A16" s="48" t="n">
        <v>15</v>
      </c>
      <c r="B16" s="47" t="inlineStr">
        <is>
          <t>Trường Đại học Mỏ - Địa chất (HUMG)</t>
        </is>
      </c>
      <c r="C16" s="47" t="inlineStr">
        <is>
          <t>HUMG</t>
        </is>
      </c>
      <c r="D16" s="47" t="inlineStr">
        <is>
          <t>Miền Bắc</t>
        </is>
      </c>
      <c r="E16" s="47" t="inlineStr">
        <is>
          <t>Hà Nội</t>
        </is>
      </c>
      <c r="F16" s="47" t="inlineStr">
        <is>
          <t>Hà Nội</t>
        </is>
      </c>
      <c r="G16" s="49" t="inlineStr">
        <is>
          <t>HUMG</t>
        </is>
      </c>
      <c r="H16" s="48">
        <f>COUNTA(HUMG!$B$11:$B$500)</f>
        <v/>
      </c>
      <c r="I16" s="49" t="inlineStr">
        <is>
          <t>https://humg.edu.vn/</t>
        </is>
      </c>
      <c r="J16" s="49" t="inlineStr">
        <is>
          <t>https://tuyensinh.humg.edu.vn/</t>
        </is>
      </c>
      <c r="K16" s="63" t="n"/>
    </row>
    <row r="17" ht="15" customHeight="1" s="35">
      <c r="A17" s="48" t="n">
        <v>16</v>
      </c>
      <c r="B17" s="47" t="inlineStr">
        <is>
          <t>Đại học Điện lực (EPU)</t>
        </is>
      </c>
      <c r="C17" s="47" t="inlineStr">
        <is>
          <t>EPU</t>
        </is>
      </c>
      <c r="D17" s="47" t="inlineStr">
        <is>
          <t>Miền Bắc</t>
        </is>
      </c>
      <c r="E17" s="47" t="inlineStr">
        <is>
          <t>Hà Nội</t>
        </is>
      </c>
      <c r="F17" s="47" t="inlineStr">
        <is>
          <t>Hà Nội</t>
        </is>
      </c>
      <c r="G17" s="49" t="inlineStr">
        <is>
          <t>EPU</t>
        </is>
      </c>
      <c r="H17" s="48">
        <f>COUNTA(EPU!$B$11:$B$500)</f>
        <v/>
      </c>
      <c r="I17" s="49" t="inlineStr">
        <is>
          <t>https://epu.edu.vn/</t>
        </is>
      </c>
      <c r="J17" s="49" t="inlineStr">
        <is>
          <t>https://tuyensinh.epu.edu.vn/</t>
        </is>
      </c>
      <c r="K17" s="63" t="n"/>
    </row>
    <row r="18" ht="15" customHeight="1" s="35">
      <c r="A18" s="48" t="n">
        <v>17</v>
      </c>
      <c r="B18" s="47" t="inlineStr">
        <is>
          <t>Trường Đại học Công nghiệp Hà Nội (HaUI)</t>
        </is>
      </c>
      <c r="C18" s="47" t="inlineStr">
        <is>
          <t>HaUI</t>
        </is>
      </c>
      <c r="D18" s="47" t="inlineStr">
        <is>
          <t>Miền Bắc</t>
        </is>
      </c>
      <c r="E18" s="47" t="inlineStr">
        <is>
          <t>Hà Nội</t>
        </is>
      </c>
      <c r="F18" s="47" t="inlineStr">
        <is>
          <t>Hà Nội</t>
        </is>
      </c>
      <c r="G18" s="49" t="inlineStr">
        <is>
          <t>HaUI</t>
        </is>
      </c>
      <c r="H18" s="48">
        <f>COUNTA(HaUI!$B$11:$B$500)</f>
        <v/>
      </c>
      <c r="I18" s="49" t="inlineStr">
        <is>
          <t>https://haui.edu.vn/</t>
        </is>
      </c>
      <c r="J18" s="49" t="inlineStr">
        <is>
          <t>https://tuyensinh.haui.edu.vn/</t>
        </is>
      </c>
      <c r="K18" s="63" t="n"/>
    </row>
    <row r="19" ht="15" customHeight="1" s="35">
      <c r="A19" s="48" t="n">
        <v>18</v>
      </c>
      <c r="B19" s="47" t="inlineStr">
        <is>
          <t>Học viện Công nghệ Bưu chính Viễn thông (PTIT)</t>
        </is>
      </c>
      <c r="C19" s="47" t="inlineStr">
        <is>
          <t>PTIT</t>
        </is>
      </c>
      <c r="D19" s="47" t="inlineStr">
        <is>
          <t>Miền Bắc</t>
        </is>
      </c>
      <c r="E19" s="47" t="inlineStr">
        <is>
          <t>Hà Nội</t>
        </is>
      </c>
      <c r="F19" s="47" t="inlineStr">
        <is>
          <t>Hà Nội</t>
        </is>
      </c>
      <c r="G19" s="49" t="inlineStr">
        <is>
          <t>PTIT</t>
        </is>
      </c>
      <c r="H19" s="48">
        <f>COUNTA(PTIT!$B$11:$B$500)</f>
        <v/>
      </c>
      <c r="I19" s="49" t="inlineStr">
        <is>
          <t>https://ptit.edu.vn/</t>
        </is>
      </c>
      <c r="J19" s="49" t="inlineStr">
        <is>
          <t>https://tuyensinh.ptit.edu.vn/</t>
        </is>
      </c>
      <c r="K19" s="63" t="n"/>
    </row>
    <row r="20" ht="15" customHeight="1" s="35">
      <c r="A20" s="48" t="n">
        <v>19</v>
      </c>
      <c r="B20" s="47" t="inlineStr">
        <is>
          <t>Học viện Kỹ thuật Mật mã (KMA)</t>
        </is>
      </c>
      <c r="C20" s="47" t="inlineStr">
        <is>
          <t>KMA</t>
        </is>
      </c>
      <c r="D20" s="47" t="inlineStr">
        <is>
          <t>Miền Bắc</t>
        </is>
      </c>
      <c r="E20" s="47" t="inlineStr">
        <is>
          <t>Hà Nội</t>
        </is>
      </c>
      <c r="F20" s="47" t="inlineStr">
        <is>
          <t>Hà Nội</t>
        </is>
      </c>
      <c r="G20" s="49" t="inlineStr">
        <is>
          <t>KMA</t>
        </is>
      </c>
      <c r="H20" s="48">
        <f>COUNTA(KMA!$B$11:$B$500)</f>
        <v/>
      </c>
      <c r="I20" s="49" t="inlineStr">
        <is>
          <t>https://actvn.edu.vn/</t>
        </is>
      </c>
      <c r="J20" s="49" t="inlineStr">
        <is>
          <t>https://tuyensinh.actvn.edu.vn/</t>
        </is>
      </c>
      <c r="K20" s="63" t="n"/>
    </row>
    <row r="21" ht="15" customHeight="1" s="35">
      <c r="A21" s="48" t="n">
        <v>20</v>
      </c>
      <c r="B21" s="47" t="inlineStr">
        <is>
          <t>Học viện Tài chính (AOF)</t>
        </is>
      </c>
      <c r="C21" s="47" t="inlineStr">
        <is>
          <t>AOF</t>
        </is>
      </c>
      <c r="D21" s="47" t="inlineStr">
        <is>
          <t>Miền Bắc</t>
        </is>
      </c>
      <c r="E21" s="47" t="inlineStr">
        <is>
          <t>Hà Nội</t>
        </is>
      </c>
      <c r="F21" s="47" t="inlineStr">
        <is>
          <t>Hà Nội</t>
        </is>
      </c>
      <c r="G21" s="49" t="inlineStr">
        <is>
          <t>HV Tài chính (AOF)</t>
        </is>
      </c>
      <c r="H21" s="48">
        <f>COUNTA('HV Tài chính (AOF)'!$B$11:$B$500)</f>
        <v/>
      </c>
      <c r="I21" s="49" t="inlineStr">
        <is>
          <t>https://hvtc.edu.vn/</t>
        </is>
      </c>
      <c r="J21" s="49" t="inlineStr">
        <is>
          <t>https://tuyensinh.hvtc.edu.vn/</t>
        </is>
      </c>
      <c r="K21" s="63" t="n"/>
    </row>
    <row r="22" ht="15" customHeight="1" s="35">
      <c r="A22" s="48" t="n">
        <v>21</v>
      </c>
      <c r="B22" s="47" t="inlineStr">
        <is>
          <t>Học viện Ngân hàng (BA)</t>
        </is>
      </c>
      <c r="C22" s="47" t="inlineStr">
        <is>
          <t>BA</t>
        </is>
      </c>
      <c r="D22" s="47" t="inlineStr">
        <is>
          <t>Miền Bắc</t>
        </is>
      </c>
      <c r="E22" s="47" t="inlineStr">
        <is>
          <t>Hà Nội</t>
        </is>
      </c>
      <c r="F22" s="47" t="inlineStr">
        <is>
          <t>Hà Nội</t>
        </is>
      </c>
      <c r="G22" s="49" t="inlineStr">
        <is>
          <t>HV Ngân hàng (BA)</t>
        </is>
      </c>
      <c r="H22" s="48">
        <f>COUNTA('HV Ngân hàng (BA)'!$B$11:$B$500)</f>
        <v/>
      </c>
      <c r="I22" s="49" t="inlineStr">
        <is>
          <t>https://hvnh.edu.vn/</t>
        </is>
      </c>
      <c r="J22" s="49" t="inlineStr">
        <is>
          <t>https://tuyensinh.hvnh.edu.vn/</t>
        </is>
      </c>
      <c r="K22" s="63" t="n"/>
    </row>
    <row r="23" ht="15" customHeight="1" s="35">
      <c r="A23" s="48" t="n">
        <v>22</v>
      </c>
      <c r="B23" s="47" t="inlineStr">
        <is>
          <t>Học viện Ngoại giao (DAV)</t>
        </is>
      </c>
      <c r="C23" s="47" t="inlineStr">
        <is>
          <t>DAV</t>
        </is>
      </c>
      <c r="D23" s="47" t="inlineStr">
        <is>
          <t>Miền Bắc</t>
        </is>
      </c>
      <c r="E23" s="47" t="inlineStr">
        <is>
          <t>Hà Nội</t>
        </is>
      </c>
      <c r="F23" s="47" t="inlineStr">
        <is>
          <t>Hà Nội</t>
        </is>
      </c>
      <c r="G23" s="49" t="inlineStr">
        <is>
          <t>HV Ngoại giao (DAV)</t>
        </is>
      </c>
      <c r="H23" s="48">
        <f>COUNTA('HV Ngoại giao (DAV)'!$B$11:$B$500)</f>
        <v/>
      </c>
      <c r="I23" s="49" t="inlineStr">
        <is>
          <t>https://dav.edu.vn/</t>
        </is>
      </c>
      <c r="J23" s="49" t="inlineStr">
        <is>
          <t>https://tuyensinh.dav.edu.vn/</t>
        </is>
      </c>
      <c r="K23" s="63" t="n"/>
    </row>
    <row r="24" ht="15" customHeight="1" s="35">
      <c r="A24" s="48" t="n">
        <v>23</v>
      </c>
      <c r="B24" s="47" t="inlineStr">
        <is>
          <t>Đại học Y Hà Nội (HMU)</t>
        </is>
      </c>
      <c r="C24" s="47" t="inlineStr">
        <is>
          <t>HMU</t>
        </is>
      </c>
      <c r="D24" s="47" t="inlineStr">
        <is>
          <t>Miền Bắc</t>
        </is>
      </c>
      <c r="E24" s="47" t="inlineStr">
        <is>
          <t>Hà Nội</t>
        </is>
      </c>
      <c r="F24" s="47" t="inlineStr">
        <is>
          <t>Hà Nội</t>
        </is>
      </c>
      <c r="G24" s="49" t="inlineStr">
        <is>
          <t>HMU</t>
        </is>
      </c>
      <c r="H24" s="48">
        <f>COUNTA(HMU!$B$11:$B$500)</f>
        <v/>
      </c>
      <c r="I24" s="49" t="inlineStr">
        <is>
          <t>https://hmu.edu.vn/</t>
        </is>
      </c>
      <c r="J24" s="49" t="inlineStr">
        <is>
          <t>https://hmu.edu.vn/ (mục Tuyển sinh)</t>
        </is>
      </c>
      <c r="K24" s="63" t="n"/>
    </row>
    <row r="25" ht="15" customHeight="1" s="35">
      <c r="A25" s="48" t="n">
        <v>24</v>
      </c>
      <c r="B25" s="47" t="inlineStr">
        <is>
          <t>Đại học Dược Hà Nội (HUP)</t>
        </is>
      </c>
      <c r="C25" s="47" t="inlineStr">
        <is>
          <t>HUP</t>
        </is>
      </c>
      <c r="D25" s="47" t="inlineStr">
        <is>
          <t>Miền Bắc</t>
        </is>
      </c>
      <c r="E25" s="47" t="inlineStr">
        <is>
          <t>Hà Nội</t>
        </is>
      </c>
      <c r="F25" s="47" t="inlineStr">
        <is>
          <t>Hà Nội</t>
        </is>
      </c>
      <c r="G25" s="49" t="inlineStr">
        <is>
          <t>HUP</t>
        </is>
      </c>
      <c r="H25" s="48">
        <f>COUNTA(HUP!$B$11:$B$500)</f>
        <v/>
      </c>
      <c r="I25" s="49" t="inlineStr">
        <is>
          <t>https://hup.edu.vn/</t>
        </is>
      </c>
      <c r="J25" s="49" t="inlineStr">
        <is>
          <t>https://tuyensinh.hup.edu.vn/</t>
        </is>
      </c>
      <c r="K25" s="63" t="n"/>
    </row>
    <row r="26" ht="15" customHeight="1" s="35">
      <c r="A26" s="48" t="n">
        <v>25</v>
      </c>
      <c r="B26" s="47" t="inlineStr">
        <is>
          <t>Đại học Y tế Công cộng (HUPH)</t>
        </is>
      </c>
      <c r="C26" s="47" t="inlineStr">
        <is>
          <t>HUPH</t>
        </is>
      </c>
      <c r="D26" s="47" t="inlineStr">
        <is>
          <t>Miền Bắc</t>
        </is>
      </c>
      <c r="E26" s="47" t="inlineStr">
        <is>
          <t>Hà Nội</t>
        </is>
      </c>
      <c r="F26" s="47" t="inlineStr">
        <is>
          <t>Hà Nội</t>
        </is>
      </c>
      <c r="G26" s="49" t="inlineStr">
        <is>
          <t>HUPH</t>
        </is>
      </c>
      <c r="H26" s="48">
        <f>COUNTA(HUPH!$B$11:$B$500)</f>
        <v/>
      </c>
      <c r="I26" s="49" t="inlineStr">
        <is>
          <t>https://huph.edu.vn/</t>
        </is>
      </c>
      <c r="J26" s="49" t="inlineStr">
        <is>
          <t>https://tuyensinh.huph.edu.vn/</t>
        </is>
      </c>
      <c r="K26" s="63" t="n"/>
    </row>
    <row r="27" ht="15" customHeight="1" s="35">
      <c r="A27" s="48" t="n">
        <v>26</v>
      </c>
      <c r="B27" s="47" t="inlineStr">
        <is>
          <t>Trường Đại học Văn hóa Hà Nội (HUC)</t>
        </is>
      </c>
      <c r="C27" s="47" t="inlineStr">
        <is>
          <t>HUC</t>
        </is>
      </c>
      <c r="D27" s="47" t="inlineStr">
        <is>
          <t>Miền Bắc</t>
        </is>
      </c>
      <c r="E27" s="47" t="inlineStr">
        <is>
          <t>Hà Nội</t>
        </is>
      </c>
      <c r="F27" s="47" t="inlineStr">
        <is>
          <t>Hà Nội</t>
        </is>
      </c>
      <c r="G27" s="49" t="inlineStr">
        <is>
          <t>HUC</t>
        </is>
      </c>
      <c r="H27" s="48">
        <f>COUNTA(HUC!$B$11:$B$500)</f>
        <v/>
      </c>
      <c r="I27" s="49" t="inlineStr">
        <is>
          <t>https://huc.edu.vn/</t>
        </is>
      </c>
      <c r="J27" s="49" t="inlineStr">
        <is>
          <t>https://tuyensinh.huc.edu.vn/</t>
        </is>
      </c>
      <c r="K27" s="63" t="n"/>
    </row>
    <row r="28" ht="15" customHeight="1" s="35">
      <c r="A28" s="48" t="n">
        <v>27</v>
      </c>
      <c r="B28" s="47" t="inlineStr">
        <is>
          <t>Trường Đại học Mở Hà Nội (HOU)</t>
        </is>
      </c>
      <c r="C28" s="47" t="inlineStr">
        <is>
          <t>HOU</t>
        </is>
      </c>
      <c r="D28" s="47" t="inlineStr">
        <is>
          <t>Miền Bắc</t>
        </is>
      </c>
      <c r="E28" s="47" t="inlineStr">
        <is>
          <t>Hà Nội</t>
        </is>
      </c>
      <c r="F28" s="47" t="inlineStr">
        <is>
          <t>Hà Nội</t>
        </is>
      </c>
      <c r="G28" s="49" t="inlineStr">
        <is>
          <t>HOU</t>
        </is>
      </c>
      <c r="H28" s="48">
        <f>COUNTA(HOU!$B$11:$B$500)</f>
        <v/>
      </c>
      <c r="I28" s="49" t="inlineStr">
        <is>
          <t>https://hou.edu.vn/</t>
        </is>
      </c>
      <c r="J28" s="49" t="inlineStr">
        <is>
          <t>https://tuyensinh.hou.edu.vn/</t>
        </is>
      </c>
      <c r="K28" s="63" t="n"/>
    </row>
    <row r="29" ht="15" customHeight="1" s="35">
      <c r="A29" s="48" t="n">
        <v>28</v>
      </c>
      <c r="B29" s="47" t="inlineStr">
        <is>
          <t>Trường Đại học Lao động - Xã hội (ULSA)</t>
        </is>
      </c>
      <c r="C29" s="47" t="inlineStr">
        <is>
          <t>ULSA</t>
        </is>
      </c>
      <c r="D29" s="47" t="inlineStr">
        <is>
          <t>Miền Bắc</t>
        </is>
      </c>
      <c r="E29" s="47" t="inlineStr">
        <is>
          <t>Hà Nội</t>
        </is>
      </c>
      <c r="F29" s="47" t="inlineStr">
        <is>
          <t>Hà Nội</t>
        </is>
      </c>
      <c r="G29" s="49" t="inlineStr">
        <is>
          <t>ULSA</t>
        </is>
      </c>
      <c r="H29" s="48">
        <f>COUNTA(ULSA!$B$11:$B$500)</f>
        <v/>
      </c>
      <c r="I29" s="49" t="inlineStr">
        <is>
          <t>https://ulsa.edu.vn/</t>
        </is>
      </c>
      <c r="J29" s="49" t="inlineStr">
        <is>
          <t>https://tuyensinh.ulsa.edu.vn/</t>
        </is>
      </c>
      <c r="K29" s="63" t="n"/>
    </row>
    <row r="30" ht="15" customHeight="1" s="35">
      <c r="A30" s="48" t="n">
        <v>29</v>
      </c>
      <c r="B30" s="47" t="inlineStr">
        <is>
          <t>Trường Đại học Giao thông Vận tải (UTC)</t>
        </is>
      </c>
      <c r="C30" s="47" t="inlineStr">
        <is>
          <t>UTC</t>
        </is>
      </c>
      <c r="D30" s="47" t="inlineStr">
        <is>
          <t>Miền Bắc</t>
        </is>
      </c>
      <c r="E30" s="47" t="inlineStr">
        <is>
          <t>Hà Nội</t>
        </is>
      </c>
      <c r="F30" s="47" t="inlineStr">
        <is>
          <t>Hà Nội</t>
        </is>
      </c>
      <c r="G30" s="49" t="inlineStr">
        <is>
          <t>UTC</t>
        </is>
      </c>
      <c r="H30" s="48">
        <f>COUNTA(UTC!$B$11:$B$500)</f>
        <v/>
      </c>
      <c r="I30" s="49" t="inlineStr">
        <is>
          <t>https://utc.edu.vn/</t>
        </is>
      </c>
      <c r="J30" s="49" t="inlineStr">
        <is>
          <t>https://tuyensinh.utc.edu.vn/</t>
        </is>
      </c>
      <c r="K30" s="63" t="n"/>
    </row>
    <row r="31" ht="15" customHeight="1" s="35">
      <c r="A31" s="48" t="n">
        <v>30</v>
      </c>
      <c r="B31" s="47" t="inlineStr">
        <is>
          <t>Trường Đại học Khoa học và Công nghệ Hà Nội (USTH)</t>
        </is>
      </c>
      <c r="C31" s="47" t="inlineStr">
        <is>
          <t>USTH</t>
        </is>
      </c>
      <c r="D31" s="47" t="inlineStr">
        <is>
          <t>Miền Bắc</t>
        </is>
      </c>
      <c r="E31" s="47" t="inlineStr">
        <is>
          <t>Hà Nội</t>
        </is>
      </c>
      <c r="F31" s="47" t="inlineStr">
        <is>
          <t>Hà Nội</t>
        </is>
      </c>
      <c r="G31" s="49" t="inlineStr">
        <is>
          <t>USTH</t>
        </is>
      </c>
      <c r="H31" s="48">
        <f>COUNTA(USTH!$B$11:$B$500)</f>
        <v/>
      </c>
      <c r="I31" s="49" t="inlineStr">
        <is>
          <t>https://usth.edu.vn/</t>
        </is>
      </c>
      <c r="J31" s="49" t="inlineStr">
        <is>
          <t>https://tuyensinh.usth.edu.vn/</t>
        </is>
      </c>
      <c r="K31" s="63" t="n"/>
    </row>
    <row r="32" ht="15" customHeight="1" s="35">
      <c r="A32" s="48" t="n">
        <v>31</v>
      </c>
      <c r="B32" s="47" t="inlineStr">
        <is>
          <t>Trường Đại học Phenikaa</t>
        </is>
      </c>
      <c r="C32" s="47" t="n"/>
      <c r="D32" s="47" t="inlineStr">
        <is>
          <t>Miền Bắc</t>
        </is>
      </c>
      <c r="E32" s="47" t="inlineStr">
        <is>
          <t>Hà Nội</t>
        </is>
      </c>
      <c r="F32" s="47" t="inlineStr">
        <is>
          <t>Hà Nội</t>
        </is>
      </c>
      <c r="G32" s="49" t="inlineStr">
        <is>
          <t>Phenikaa</t>
        </is>
      </c>
      <c r="H32" s="48">
        <f>COUNTA(Phenikaa!$B$11:$B$500)</f>
        <v/>
      </c>
      <c r="I32" s="49" t="inlineStr">
        <is>
          <t>https://phenikaa-uni.edu.vn/</t>
        </is>
      </c>
      <c r="J32" s="49" t="inlineStr">
        <is>
          <t>https://tuyensinh.phenikaa-uni.edu.vn/</t>
        </is>
      </c>
      <c r="K32" s="63" t="n"/>
    </row>
    <row r="33" ht="15" customHeight="1" s="35">
      <c r="A33" s="48" t="n">
        <v>32</v>
      </c>
      <c r="B33" s="47" t="inlineStr">
        <is>
          <t>Trường Đại học Thăng Long</t>
        </is>
      </c>
      <c r="C33" s="47" t="n"/>
      <c r="D33" s="47" t="inlineStr">
        <is>
          <t>Miền Bắc</t>
        </is>
      </c>
      <c r="E33" s="47" t="inlineStr">
        <is>
          <t>Hà Nội</t>
        </is>
      </c>
      <c r="F33" s="47" t="inlineStr">
        <is>
          <t>Hà Nội</t>
        </is>
      </c>
      <c r="G33" s="49" t="inlineStr">
        <is>
          <t>Thăng Long</t>
        </is>
      </c>
      <c r="H33" s="48">
        <f>COUNTA('Thăng Long'!$B$11:$B$500)</f>
        <v/>
      </c>
      <c r="I33" s="49" t="inlineStr">
        <is>
          <t>https://thanglong.edu.vn/</t>
        </is>
      </c>
      <c r="J33" s="49" t="inlineStr">
        <is>
          <t>https://tuyensinh.thanglong.edu.vn/</t>
        </is>
      </c>
      <c r="K33" s="63" t="n"/>
    </row>
    <row r="34" ht="15" customHeight="1" s="35">
      <c r="A34" s="48" t="n">
        <v>33</v>
      </c>
      <c r="B34" s="47" t="inlineStr">
        <is>
          <t>Trường Đại học CMC</t>
        </is>
      </c>
      <c r="C34" s="47" t="n"/>
      <c r="D34" s="47" t="inlineStr">
        <is>
          <t>Miền Bắc</t>
        </is>
      </c>
      <c r="E34" s="47" t="inlineStr">
        <is>
          <t>Hà Nội</t>
        </is>
      </c>
      <c r="F34" s="47" t="inlineStr">
        <is>
          <t>Hà Nội</t>
        </is>
      </c>
      <c r="G34" s="49" t="inlineStr">
        <is>
          <t>CMC</t>
        </is>
      </c>
      <c r="H34" s="48">
        <f>COUNTA(CMC!$B$11:$B$500)</f>
        <v/>
      </c>
      <c r="I34" s="49" t="inlineStr">
        <is>
          <t>https://cmc-u.edu.vn/</t>
        </is>
      </c>
      <c r="J34" s="49" t="inlineStr">
        <is>
          <t>https://tuyensinh.cmc-u.edu.vn/</t>
        </is>
      </c>
      <c r="K34" s="63" t="n"/>
    </row>
    <row r="35" ht="15" customHeight="1" s="35">
      <c r="A35" s="48" t="n">
        <v>34</v>
      </c>
      <c r="B35" s="47" t="inlineStr">
        <is>
          <t>Trường Đại học Đại Nam</t>
        </is>
      </c>
      <c r="C35" s="47" t="n"/>
      <c r="D35" s="47" t="inlineStr">
        <is>
          <t>Miền Bắc</t>
        </is>
      </c>
      <c r="E35" s="47" t="inlineStr">
        <is>
          <t>Hà Nội</t>
        </is>
      </c>
      <c r="F35" s="47" t="inlineStr">
        <is>
          <t>Hà Nội</t>
        </is>
      </c>
      <c r="G35" s="49" t="inlineStr">
        <is>
          <t>Đại Nam</t>
        </is>
      </c>
      <c r="H35" s="48">
        <f>COUNTA('Đại Nam'!$B$11:$B$500)</f>
        <v/>
      </c>
      <c r="I35" s="49" t="inlineStr">
        <is>
          <t>https://dainam.edu.vn/</t>
        </is>
      </c>
      <c r="J35" s="49" t="inlineStr">
        <is>
          <t>https://tuyensinh.dainam.edu.vn/</t>
        </is>
      </c>
      <c r="K35" s="63" t="n"/>
    </row>
    <row r="36" ht="15" customHeight="1" s="35">
      <c r="A36" s="48" t="n">
        <v>35</v>
      </c>
      <c r="B36" s="47" t="inlineStr">
        <is>
          <t>Trường Đại học Kinh doanh và Công nghệ Hà Nội (HUBT)</t>
        </is>
      </c>
      <c r="C36" s="47" t="inlineStr">
        <is>
          <t>HUBT</t>
        </is>
      </c>
      <c r="D36" s="47" t="inlineStr">
        <is>
          <t>Miền Bắc</t>
        </is>
      </c>
      <c r="E36" s="47" t="inlineStr">
        <is>
          <t>Hà Nội</t>
        </is>
      </c>
      <c r="F36" s="47" t="inlineStr">
        <is>
          <t>Hà Nội</t>
        </is>
      </c>
      <c r="G36" s="49" t="inlineStr">
        <is>
          <t>HUBT</t>
        </is>
      </c>
      <c r="H36" s="48">
        <f>COUNTA(HUBT!$B$11:$B$500)</f>
        <v/>
      </c>
      <c r="I36" s="49" t="inlineStr">
        <is>
          <t>https://hubt.edu.vn/</t>
        </is>
      </c>
      <c r="J36" s="49" t="inlineStr">
        <is>
          <t>https://tuyensinh.hubt.edu.vn/</t>
        </is>
      </c>
      <c r="K36" s="63" t="n"/>
    </row>
    <row r="37" ht="15" customHeight="1" s="35">
      <c r="A37" s="48" t="n">
        <v>36</v>
      </c>
      <c r="B37" s="47" t="inlineStr">
        <is>
          <t>Trường Đại học Công nghiệp Việt - Hung</t>
        </is>
      </c>
      <c r="C37" s="47" t="n"/>
      <c r="D37" s="47" t="inlineStr">
        <is>
          <t>Miền Bắc</t>
        </is>
      </c>
      <c r="E37" s="47" t="inlineStr">
        <is>
          <t>Hà Nội</t>
        </is>
      </c>
      <c r="F37" s="47" t="inlineStr">
        <is>
          <t>Hà Nội</t>
        </is>
      </c>
      <c r="G37" s="49" t="inlineStr">
        <is>
          <t>Việt - Hung (VIU)</t>
        </is>
      </c>
      <c r="H37" s="48">
        <f>COUNTA('Việt - Hung (VIU)'!$B$11:$B$500)</f>
        <v/>
      </c>
      <c r="I37" s="49" t="inlineStr">
        <is>
          <t>https://viu.edu.vn/</t>
        </is>
      </c>
      <c r="J37" s="49" t="inlineStr">
        <is>
          <t>https://tuyensinh.viu.edu.vn/</t>
        </is>
      </c>
      <c r="K37" s="63" t="n"/>
    </row>
    <row r="38" ht="15" customHeight="1" s="35">
      <c r="A38" s="48" t="n">
        <v>37</v>
      </c>
      <c r="B38" s="47" t="inlineStr">
        <is>
          <t>Trường Đại học Kinh tế và Quản trị Kinh doanh - ĐH Thái Nguyên (TUEBA)</t>
        </is>
      </c>
      <c r="C38" s="47" t="inlineStr">
        <is>
          <t>TUEBA</t>
        </is>
      </c>
      <c r="D38" s="47" t="inlineStr">
        <is>
          <t>Miền Bắc</t>
        </is>
      </c>
      <c r="E38" s="47" t="inlineStr">
        <is>
          <t>Thái Nguyên</t>
        </is>
      </c>
      <c r="F38" s="47" t="inlineStr">
        <is>
          <t>Thái Nguyên</t>
        </is>
      </c>
      <c r="G38" s="49" t="inlineStr">
        <is>
          <t>TUEBA</t>
        </is>
      </c>
      <c r="H38" s="48">
        <f>COUNTA(TUEBA!$B$11:$B$500)</f>
        <v/>
      </c>
      <c r="I38" s="49" t="inlineStr">
        <is>
          <t>https://tueba.edu.vn/</t>
        </is>
      </c>
      <c r="J38" s="49" t="inlineStr">
        <is>
          <t>https://tuyensinh.tueba.edu.vn/</t>
        </is>
      </c>
      <c r="K38" s="63" t="n"/>
    </row>
    <row r="39" ht="15" customHeight="1" s="35">
      <c r="A39" s="48" t="n">
        <v>38</v>
      </c>
      <c r="B39" s="47" t="inlineStr">
        <is>
          <t>Trường Đại học Công nghệ Thông tin và Truyền thông - ĐH Thái Nguyên (ICTU)</t>
        </is>
      </c>
      <c r="C39" s="47" t="inlineStr">
        <is>
          <t>ICTU</t>
        </is>
      </c>
      <c r="D39" s="47" t="inlineStr">
        <is>
          <t>Miền Bắc</t>
        </is>
      </c>
      <c r="E39" s="47" t="inlineStr">
        <is>
          <t>Thái Nguyên</t>
        </is>
      </c>
      <c r="F39" s="47" t="inlineStr">
        <is>
          <t>Thái Nguyên</t>
        </is>
      </c>
      <c r="G39" s="49" t="inlineStr">
        <is>
          <t>ICTU</t>
        </is>
      </c>
      <c r="H39" s="48">
        <f>COUNTA(ICTU!$B$11:$B$500)</f>
        <v/>
      </c>
      <c r="I39" s="49" t="inlineStr">
        <is>
          <t>https://ictu.edu.vn/</t>
        </is>
      </c>
      <c r="J39" s="49" t="inlineStr">
        <is>
          <t>https://tuyensinh.ictu.edu.vn/</t>
        </is>
      </c>
      <c r="K39" s="63" t="n"/>
    </row>
    <row r="40" ht="15" customHeight="1" s="35">
      <c r="A40" s="48" t="n">
        <v>39</v>
      </c>
      <c r="B40" s="47" t="inlineStr">
        <is>
          <t>Trường Đại học Kỹ thuật Công nghiệp - ĐH Thái Nguyên (TNUT)</t>
        </is>
      </c>
      <c r="C40" s="47" t="inlineStr">
        <is>
          <t>TNUT</t>
        </is>
      </c>
      <c r="D40" s="47" t="inlineStr">
        <is>
          <t>Miền Bắc</t>
        </is>
      </c>
      <c r="E40" s="47" t="inlineStr">
        <is>
          <t>Thái Nguyên</t>
        </is>
      </c>
      <c r="F40" s="47" t="inlineStr">
        <is>
          <t>Thái Nguyên</t>
        </is>
      </c>
      <c r="G40" s="49" t="inlineStr">
        <is>
          <t>TNUT</t>
        </is>
      </c>
      <c r="H40" s="48">
        <f>COUNTA(TNUT!$B$11:$B$500)</f>
        <v/>
      </c>
      <c r="I40" s="49" t="inlineStr">
        <is>
          <t>https://tnut.edu.vn/</t>
        </is>
      </c>
      <c r="J40" s="49" t="inlineStr">
        <is>
          <t>https://tuyensinh.tnut.edu.vn/</t>
        </is>
      </c>
      <c r="K40" s="63" t="n"/>
    </row>
    <row r="41" ht="15" customHeight="1" s="35">
      <c r="A41" s="48" t="n">
        <v>40</v>
      </c>
      <c r="B41" s="47" t="inlineStr">
        <is>
          <t>Trường Đại học Nông Lâm - ĐH Thái Nguyên (TUAF)</t>
        </is>
      </c>
      <c r="C41" s="47" t="inlineStr">
        <is>
          <t>TUAF</t>
        </is>
      </c>
      <c r="D41" s="47" t="inlineStr">
        <is>
          <t>Miền Bắc</t>
        </is>
      </c>
      <c r="E41" s="47" t="inlineStr">
        <is>
          <t>Thái Nguyên</t>
        </is>
      </c>
      <c r="F41" s="47" t="inlineStr">
        <is>
          <t>Thái Nguyên</t>
        </is>
      </c>
      <c r="G41" s="49" t="inlineStr">
        <is>
          <t>TUAF</t>
        </is>
      </c>
      <c r="H41" s="48">
        <f>COUNTA(TUAF!$B$11:$B$500)</f>
        <v/>
      </c>
      <c r="I41" s="49" t="inlineStr">
        <is>
          <t>https://tuaf.edu.vn/</t>
        </is>
      </c>
      <c r="J41" s="49" t="inlineStr">
        <is>
          <t>https://tuyensinh.tuaf.edu.vn/</t>
        </is>
      </c>
      <c r="K41" s="63" t="n"/>
    </row>
    <row r="42" ht="15" customHeight="1" s="35">
      <c r="A42" s="48" t="n">
        <v>41</v>
      </c>
      <c r="B42" s="47" t="inlineStr">
        <is>
          <t>Trường Đại học Y - Dược - ĐH Thái Nguyên (TUMP)</t>
        </is>
      </c>
      <c r="C42" s="47" t="inlineStr">
        <is>
          <t>TUMP</t>
        </is>
      </c>
      <c r="D42" s="47" t="inlineStr">
        <is>
          <t>Miền Bắc</t>
        </is>
      </c>
      <c r="E42" s="47" t="inlineStr">
        <is>
          <t>Thái Nguyên</t>
        </is>
      </c>
      <c r="F42" s="47" t="inlineStr">
        <is>
          <t>Thái Nguyên</t>
        </is>
      </c>
      <c r="G42" s="49" t="inlineStr">
        <is>
          <t>TUMP</t>
        </is>
      </c>
      <c r="H42" s="48">
        <f>COUNTA(TUMP!$B$11:$B$500)</f>
        <v/>
      </c>
      <c r="I42" s="49" t="inlineStr">
        <is>
          <t>https://tump.edu.vn/</t>
        </is>
      </c>
      <c r="J42" s="49" t="inlineStr">
        <is>
          <t>https://tuyensinh.tump.edu.vn/</t>
        </is>
      </c>
      <c r="K42" s="63" t="n"/>
    </row>
    <row r="43" ht="15" customHeight="1" s="35">
      <c r="A43" s="48" t="n">
        <v>42</v>
      </c>
      <c r="B43" s="47" t="inlineStr">
        <is>
          <t>Trường Đại học Sư phạm - ĐH Thái Nguyên (TNUE)</t>
        </is>
      </c>
      <c r="C43" s="47" t="inlineStr">
        <is>
          <t>TNUE</t>
        </is>
      </c>
      <c r="D43" s="47" t="inlineStr">
        <is>
          <t>Miền Bắc</t>
        </is>
      </c>
      <c r="E43" s="47" t="inlineStr">
        <is>
          <t>Thái Nguyên</t>
        </is>
      </c>
      <c r="F43" s="47" t="inlineStr">
        <is>
          <t>Thái Nguyên</t>
        </is>
      </c>
      <c r="G43" s="49" t="inlineStr">
        <is>
          <t>TNUE</t>
        </is>
      </c>
      <c r="H43" s="48">
        <f>COUNTA(TNUE!$B$11:$B$500)</f>
        <v/>
      </c>
      <c r="I43" s="49" t="inlineStr">
        <is>
          <t>https://tnue.edu.vn/</t>
        </is>
      </c>
      <c r="J43" s="49" t="inlineStr">
        <is>
          <t>https://tuyensinh.tnue.edu.vn/</t>
        </is>
      </c>
      <c r="K43" s="63" t="n"/>
    </row>
    <row r="44" ht="15" customHeight="1" s="35">
      <c r="A44" s="48" t="n">
        <v>43</v>
      </c>
      <c r="B44" s="47" t="inlineStr">
        <is>
          <t>Trường Đại học Hải Phòng</t>
        </is>
      </c>
      <c r="C44" s="47" t="n"/>
      <c r="D44" s="47" t="inlineStr">
        <is>
          <t>Miền Bắc</t>
        </is>
      </c>
      <c r="E44" s="47" t="inlineStr">
        <is>
          <t>Hải Phòng</t>
        </is>
      </c>
      <c r="F44" s="47" t="inlineStr">
        <is>
          <t>Hải Phòng</t>
        </is>
      </c>
      <c r="G44" s="49" t="inlineStr">
        <is>
          <t>ĐH Hải Phòng</t>
        </is>
      </c>
      <c r="H44" s="48">
        <f>COUNTA('ĐH Hải Phòng'!$B$11:$B$500)</f>
        <v/>
      </c>
      <c r="I44" s="49" t="inlineStr">
        <is>
          <t>https://dhhp.edu.vn/</t>
        </is>
      </c>
      <c r="J44" s="49" t="inlineStr">
        <is>
          <t>https://tuyensinh.dhhp.edu.vn/</t>
        </is>
      </c>
      <c r="K44" s="63" t="n"/>
    </row>
    <row r="45" ht="15" customHeight="1" s="35">
      <c r="A45" s="48" t="n">
        <v>44</v>
      </c>
      <c r="B45" s="47" t="inlineStr">
        <is>
          <t>Đại học Hàng hải Việt Nam (VMU)</t>
        </is>
      </c>
      <c r="C45" s="47" t="inlineStr">
        <is>
          <t>VMU</t>
        </is>
      </c>
      <c r="D45" s="47" t="inlineStr">
        <is>
          <t>Miền Bắc</t>
        </is>
      </c>
      <c r="E45" s="47" t="inlineStr">
        <is>
          <t>Hải Phòng</t>
        </is>
      </c>
      <c r="F45" s="47" t="inlineStr">
        <is>
          <t>Hải Phòng</t>
        </is>
      </c>
      <c r="G45" s="49" t="inlineStr">
        <is>
          <t>VMU</t>
        </is>
      </c>
      <c r="H45" s="48">
        <f>COUNTA(VMU!$B$11:$B$500)</f>
        <v/>
      </c>
      <c r="I45" s="49" t="inlineStr">
        <is>
          <t>https://vimaru.edu.vn/</t>
        </is>
      </c>
      <c r="J45" s="49" t="inlineStr">
        <is>
          <t>https://tuyensinh.vimaru.edu.vn/</t>
        </is>
      </c>
      <c r="K45" s="63" t="n"/>
    </row>
    <row r="46" ht="15" customHeight="1" s="35">
      <c r="A46" s="48" t="n">
        <v>45</v>
      </c>
      <c r="B46" s="47" t="inlineStr">
        <is>
          <t>Trường Đại học Kỹ thuật Y tế Hải Dương</t>
        </is>
      </c>
      <c r="C46" s="47" t="n"/>
      <c r="D46" s="47" t="inlineStr">
        <is>
          <t>Miền Bắc</t>
        </is>
      </c>
      <c r="E46" s="47" t="inlineStr">
        <is>
          <t>Hải Phòng</t>
        </is>
      </c>
      <c r="F46" s="47" t="inlineStr">
        <is>
          <t>Hải Dương</t>
        </is>
      </c>
      <c r="G46" s="49" t="inlineStr">
        <is>
          <t>KT Y tế Hải Dương</t>
        </is>
      </c>
      <c r="H46" s="48">
        <f>COUNTA('KT Y tế Hải Dương'!$B$11:$B$500)</f>
        <v/>
      </c>
      <c r="I46" s="49" t="inlineStr">
        <is>
          <t>https://hmt.edu.vn/</t>
        </is>
      </c>
      <c r="J46" s="49" t="inlineStr">
        <is>
          <t>https://tuyensinh.hmt.edu.vn/</t>
        </is>
      </c>
      <c r="K46" s="63" t="n"/>
    </row>
    <row r="47" ht="15" customHeight="1" s="35">
      <c r="A47" s="48" t="n">
        <v>46</v>
      </c>
      <c r="B47" s="47" t="inlineStr">
        <is>
          <t>Trường Đại học Sư phạm Kỹ thuật Hưng Yên (UTEHY)</t>
        </is>
      </c>
      <c r="C47" s="47" t="inlineStr">
        <is>
          <t>UTEHY</t>
        </is>
      </c>
      <c r="D47" s="47" t="inlineStr">
        <is>
          <t>Miền Bắc</t>
        </is>
      </c>
      <c r="E47" s="47" t="inlineStr">
        <is>
          <t>Hưng Yên</t>
        </is>
      </c>
      <c r="F47" s="47" t="inlineStr">
        <is>
          <t>Hưng Yên</t>
        </is>
      </c>
      <c r="G47" s="49" t="inlineStr">
        <is>
          <t>UTEHY</t>
        </is>
      </c>
      <c r="H47" s="48">
        <f>COUNTA(UTEHY!$B$11:$B$500)</f>
        <v/>
      </c>
      <c r="I47" s="49" t="inlineStr">
        <is>
          <t>https://utehy.edu.vn/</t>
        </is>
      </c>
      <c r="J47" s="49" t="inlineStr">
        <is>
          <t>https://tuyensinh.utehy.edu.vn/</t>
        </is>
      </c>
      <c r="K47" s="63" t="n"/>
    </row>
    <row r="48" ht="15" customHeight="1" s="35">
      <c r="A48" s="48" t="n">
        <v>47</v>
      </c>
      <c r="B48" s="47" t="inlineStr">
        <is>
          <t>Trường Đại học Vinh</t>
        </is>
      </c>
      <c r="C48" s="47" t="n"/>
      <c r="D48" s="47" t="inlineStr">
        <is>
          <t>Miền Trung</t>
        </is>
      </c>
      <c r="E48" s="47" t="inlineStr">
        <is>
          <t>Nghệ An</t>
        </is>
      </c>
      <c r="F48" s="47" t="inlineStr">
        <is>
          <t>Nghệ An</t>
        </is>
      </c>
      <c r="G48" s="49" t="inlineStr">
        <is>
          <t>ĐH Vinh</t>
        </is>
      </c>
      <c r="H48" s="48">
        <f>COUNTA('ĐH Vinh'!$B$11:$B$500)</f>
        <v/>
      </c>
      <c r="I48" s="49" t="inlineStr">
        <is>
          <t>https://vinhuni.edu.vn/</t>
        </is>
      </c>
      <c r="J48" s="49" t="inlineStr">
        <is>
          <t>https://tuyensinh.vinhuni.edu.vn/</t>
        </is>
      </c>
      <c r="K48" s="63" t="n"/>
    </row>
    <row r="49" ht="15" customHeight="1" s="35">
      <c r="A49" s="48" t="n">
        <v>48</v>
      </c>
      <c r="B49" s="47" t="inlineStr">
        <is>
          <t>Trường Đại học Bách khoa - Đại học Đà Nẵng (DUT)</t>
        </is>
      </c>
      <c r="C49" s="47" t="inlineStr">
        <is>
          <t>DUT</t>
        </is>
      </c>
      <c r="D49" s="47" t="inlineStr">
        <is>
          <t>Miền Trung</t>
        </is>
      </c>
      <c r="E49" s="47" t="inlineStr">
        <is>
          <t>Đà Nẵng</t>
        </is>
      </c>
      <c r="F49" s="47" t="inlineStr">
        <is>
          <t>Đà Nẵng</t>
        </is>
      </c>
      <c r="G49" s="49" t="inlineStr">
        <is>
          <t>DUT</t>
        </is>
      </c>
      <c r="H49" s="48">
        <f>COUNTA(DUT!$B$11:$B$500)</f>
        <v/>
      </c>
      <c r="I49" s="49" t="inlineStr">
        <is>
          <t>https://dut.udn.vn/</t>
        </is>
      </c>
      <c r="J49" s="49" t="inlineStr">
        <is>
          <t>https://tuyensinh.dut.udn.vn/</t>
        </is>
      </c>
      <c r="K49" s="63" t="n"/>
    </row>
    <row r="50" ht="15" customHeight="1" s="35">
      <c r="A50" s="48" t="n">
        <v>49</v>
      </c>
      <c r="B50" s="47" t="inlineStr">
        <is>
          <t>Trường Đại học Kinh tế - Đại học Đà Nẵng (DUE)</t>
        </is>
      </c>
      <c r="C50" s="47" t="inlineStr">
        <is>
          <t>DUE</t>
        </is>
      </c>
      <c r="D50" s="47" t="inlineStr">
        <is>
          <t>Miền Trung</t>
        </is>
      </c>
      <c r="E50" s="47" t="inlineStr">
        <is>
          <t>Đà Nẵng</t>
        </is>
      </c>
      <c r="F50" s="47" t="inlineStr">
        <is>
          <t>Đà Nẵng</t>
        </is>
      </c>
      <c r="G50" s="49" t="inlineStr">
        <is>
          <t>DUE</t>
        </is>
      </c>
      <c r="H50" s="48">
        <f>COUNTA(DUE!$B$11:$B$500)</f>
        <v/>
      </c>
      <c r="I50" s="49" t="inlineStr">
        <is>
          <t>https://due.udn.vn/</t>
        </is>
      </c>
      <c r="J50" s="49" t="inlineStr">
        <is>
          <t>https://tuyensinh.due.udn.vn/</t>
        </is>
      </c>
      <c r="K50" s="63" t="n"/>
    </row>
    <row r="51" ht="15" customHeight="1" s="35">
      <c r="A51" s="48" t="n">
        <v>50</v>
      </c>
      <c r="B51" s="47" t="inlineStr">
        <is>
          <t>Trường Đại học Sư phạm - Đại học Đà Nẵng</t>
        </is>
      </c>
      <c r="C51" s="47" t="n"/>
      <c r="D51" s="47" t="inlineStr">
        <is>
          <t>Miền Trung</t>
        </is>
      </c>
      <c r="E51" s="47" t="inlineStr">
        <is>
          <t>Đà Nẵng</t>
        </is>
      </c>
      <c r="F51" s="47" t="inlineStr">
        <is>
          <t>Đà Nẵng</t>
        </is>
      </c>
      <c r="G51" s="49" t="inlineStr">
        <is>
          <t>ĐHSP Đà Nẵng</t>
        </is>
      </c>
      <c r="H51" s="48">
        <f>COUNTA('ĐHSP Đà Nẵng'!$B$11:$B$500)</f>
        <v/>
      </c>
      <c r="I51" s="49" t="inlineStr">
        <is>
          <t>https://ued.udn.vn/</t>
        </is>
      </c>
      <c r="J51" s="49" t="inlineStr">
        <is>
          <t>https://tuyensinh.ued.udn.vn/</t>
        </is>
      </c>
      <c r="K51" s="63" t="n"/>
    </row>
    <row r="52" ht="15" customHeight="1" s="35">
      <c r="A52" s="48" t="n">
        <v>51</v>
      </c>
      <c r="B52" s="47" t="inlineStr">
        <is>
          <t>Trường Đại học Y Dược - Đại học Đà Nẵng</t>
        </is>
      </c>
      <c r="C52" s="47" t="n"/>
      <c r="D52" s="47" t="inlineStr">
        <is>
          <t>Miền Trung</t>
        </is>
      </c>
      <c r="E52" s="47" t="inlineStr">
        <is>
          <t>Đà Nẵng</t>
        </is>
      </c>
      <c r="F52" s="47" t="inlineStr">
        <is>
          <t>Đà Nẵng</t>
        </is>
      </c>
      <c r="G52" s="49" t="inlineStr">
        <is>
          <t>Y Dược ĐH Đà Nẵng</t>
        </is>
      </c>
      <c r="H52" s="48">
        <f>COUNTA('Y Dược ĐH Đà Nẵng'!$B$11:$B$500)</f>
        <v/>
      </c>
      <c r="I52" s="49" t="inlineStr">
        <is>
          <t>https://ump.udn.vn/</t>
        </is>
      </c>
      <c r="J52" s="49" t="inlineStr">
        <is>
          <t>https://tuyensinh.ump.udn.vn/</t>
        </is>
      </c>
      <c r="K52" s="63" t="n"/>
    </row>
    <row r="53" ht="15" customHeight="1" s="35">
      <c r="A53" s="48" t="n">
        <v>52</v>
      </c>
      <c r="B53" s="47" t="inlineStr">
        <is>
          <t>Trường Đại học Ngoại ngữ - Đại học Đà Nẵng</t>
        </is>
      </c>
      <c r="C53" s="47" t="n"/>
      <c r="D53" s="47" t="inlineStr">
        <is>
          <t>Miền Trung</t>
        </is>
      </c>
      <c r="E53" s="47" t="inlineStr">
        <is>
          <t>Đà Nẵng</t>
        </is>
      </c>
      <c r="F53" s="47" t="inlineStr">
        <is>
          <t>Đà Nẵng</t>
        </is>
      </c>
      <c r="G53" s="49" t="inlineStr">
        <is>
          <t>UFL ĐH Đà Nẵng</t>
        </is>
      </c>
      <c r="H53" s="48">
        <f>COUNTA('UFL ĐH Đà Nẵng'!$B$11:$B$500)</f>
        <v/>
      </c>
      <c r="I53" s="49" t="inlineStr">
        <is>
          <t>https://ufl.udn.vn/</t>
        </is>
      </c>
      <c r="J53" s="49" t="inlineStr">
        <is>
          <t>https://tuyensinh.ufl.udn.vn/</t>
        </is>
      </c>
      <c r="K53" s="63" t="n"/>
    </row>
    <row r="54" ht="15" customHeight="1" s="35">
      <c r="A54" s="48" t="n">
        <v>53</v>
      </c>
      <c r="B54" s="47" t="inlineStr">
        <is>
          <t>Trường Đại học Duy Tân (DTU)</t>
        </is>
      </c>
      <c r="C54" s="47" t="inlineStr">
        <is>
          <t>DTU</t>
        </is>
      </c>
      <c r="D54" s="47" t="inlineStr">
        <is>
          <t>Miền Trung</t>
        </is>
      </c>
      <c r="E54" s="47" t="inlineStr">
        <is>
          <t>Đà Nẵng</t>
        </is>
      </c>
      <c r="F54" s="47" t="inlineStr">
        <is>
          <t>Đà Nẵng</t>
        </is>
      </c>
      <c r="G54" s="49" t="inlineStr">
        <is>
          <t>DTU</t>
        </is>
      </c>
      <c r="H54" s="48">
        <f>COUNTA(DTU!$B$11:$B$500)</f>
        <v/>
      </c>
      <c r="I54" s="49" t="inlineStr">
        <is>
          <t>https://duytan.edu.vn/</t>
        </is>
      </c>
      <c r="J54" s="49" t="inlineStr">
        <is>
          <t>https://tuyensinh.duytan.edu.vn/</t>
        </is>
      </c>
      <c r="K54" s="63" t="n"/>
    </row>
    <row r="55" ht="15" customHeight="1" s="35">
      <c r="A55" s="48" t="n">
        <v>54</v>
      </c>
      <c r="B55" s="47" t="inlineStr">
        <is>
          <t>Trường Đại học Đông Á</t>
        </is>
      </c>
      <c r="C55" s="47" t="n"/>
      <c r="D55" s="47" t="inlineStr">
        <is>
          <t>Miền Trung</t>
        </is>
      </c>
      <c r="E55" s="47" t="inlineStr">
        <is>
          <t>Đà Nẵng</t>
        </is>
      </c>
      <c r="F55" s="47" t="inlineStr">
        <is>
          <t>Đà Nẵng</t>
        </is>
      </c>
      <c r="G55" s="49" t="inlineStr">
        <is>
          <t>ĐH Đông Á</t>
        </is>
      </c>
      <c r="H55" s="48">
        <f>COUNTA('ĐH Đông Á'!$B$11:$B$500)</f>
        <v/>
      </c>
      <c r="I55" s="49" t="inlineStr">
        <is>
          <t>https://donga.edu.vn/</t>
        </is>
      </c>
      <c r="J55" s="49" t="inlineStr">
        <is>
          <t>https://tuyensinh.donga.edu.vn/</t>
        </is>
      </c>
      <c r="K55" s="63" t="n"/>
    </row>
    <row r="56" ht="15" customHeight="1" s="35">
      <c r="A56" s="48" t="n">
        <v>55</v>
      </c>
      <c r="B56" s="47" t="inlineStr">
        <is>
          <t>Trường Đại học Khoa học - Đại học Huế</t>
        </is>
      </c>
      <c r="C56" s="47" t="n"/>
      <c r="D56" s="47" t="inlineStr">
        <is>
          <t>Miền Trung</t>
        </is>
      </c>
      <c r="E56" s="47" t="inlineStr">
        <is>
          <t>Huế</t>
        </is>
      </c>
      <c r="F56" s="47" t="inlineStr">
        <is>
          <t>Thừa Thiên Huế</t>
        </is>
      </c>
      <c r="G56" s="49" t="inlineStr">
        <is>
          <t>HUSC</t>
        </is>
      </c>
      <c r="H56" s="48">
        <f>COUNTA(HUSC!$B$11:$B$500)</f>
        <v/>
      </c>
      <c r="I56" s="49" t="inlineStr">
        <is>
          <t>https://husc.edu.vn/</t>
        </is>
      </c>
      <c r="J56" s="49" t="inlineStr">
        <is>
          <t>https://tuyensinh.husc.edu.vn/</t>
        </is>
      </c>
      <c r="K56" s="63" t="n"/>
    </row>
    <row r="57" ht="15" customHeight="1" s="35">
      <c r="A57" s="48" t="n">
        <v>56</v>
      </c>
      <c r="B57" s="47" t="inlineStr">
        <is>
          <t>Trường Đại học Kinh tế - Đại học Huế</t>
        </is>
      </c>
      <c r="C57" s="47" t="n"/>
      <c r="D57" s="47" t="inlineStr">
        <is>
          <t>Miền Trung</t>
        </is>
      </c>
      <c r="E57" s="47" t="inlineStr">
        <is>
          <t>Huế</t>
        </is>
      </c>
      <c r="F57" s="47" t="inlineStr">
        <is>
          <t>Thừa Thiên Huế</t>
        </is>
      </c>
      <c r="G57" s="49" t="inlineStr">
        <is>
          <t>HCE</t>
        </is>
      </c>
      <c r="H57" s="48">
        <f>COUNTA(HCE!$B$11:$B$500)</f>
        <v/>
      </c>
      <c r="I57" s="49" t="inlineStr">
        <is>
          <t>https://hce.edu.vn/</t>
        </is>
      </c>
      <c r="J57" s="49" t="inlineStr">
        <is>
          <t>https://tuyensinh.hce.edu.vn/</t>
        </is>
      </c>
      <c r="K57" s="63" t="n"/>
    </row>
    <row r="58" ht="15" customHeight="1" s="35">
      <c r="A58" s="48" t="n">
        <v>57</v>
      </c>
      <c r="B58" s="47" t="inlineStr">
        <is>
          <t>Trường Đại học Luật - Đại học Huế</t>
        </is>
      </c>
      <c r="C58" s="47" t="n"/>
      <c r="D58" s="47" t="inlineStr">
        <is>
          <t>Miền Trung</t>
        </is>
      </c>
      <c r="E58" s="47" t="inlineStr">
        <is>
          <t>Huế</t>
        </is>
      </c>
      <c r="F58" s="47" t="inlineStr">
        <is>
          <t>Thừa Thiên Huế</t>
        </is>
      </c>
      <c r="G58" s="49" t="inlineStr">
        <is>
          <t>HUL</t>
        </is>
      </c>
      <c r="H58" s="48">
        <f>COUNTA(HUL!$B$11:$B$500)</f>
        <v/>
      </c>
      <c r="I58" s="49" t="inlineStr">
        <is>
          <t>https://hul.edu.vn/</t>
        </is>
      </c>
      <c r="J58" s="49" t="inlineStr">
        <is>
          <t>https://tuyensinh.hul.edu.vn/</t>
        </is>
      </c>
      <c r="K58" s="63" t="n"/>
    </row>
    <row r="59" ht="15" customHeight="1" s="35">
      <c r="A59" s="48" t="n">
        <v>58</v>
      </c>
      <c r="B59" s="47" t="inlineStr">
        <is>
          <t>Trường Đại học Sư phạm - Đại học Huế</t>
        </is>
      </c>
      <c r="C59" s="47" t="n"/>
      <c r="D59" s="47" t="inlineStr">
        <is>
          <t>Miền Trung</t>
        </is>
      </c>
      <c r="E59" s="47" t="inlineStr">
        <is>
          <t>Huế</t>
        </is>
      </c>
      <c r="F59" s="47" t="inlineStr">
        <is>
          <t>Thừa Thiên Huế</t>
        </is>
      </c>
      <c r="G59" s="49" t="inlineStr">
        <is>
          <t>ĐHSP Huế</t>
        </is>
      </c>
      <c r="H59" s="48">
        <f>COUNTA('ĐHSP Huế'!$B$11:$B$500)</f>
        <v/>
      </c>
      <c r="I59" s="49" t="inlineStr">
        <is>
          <t>https://dhsphue.edu.vn/</t>
        </is>
      </c>
      <c r="J59" s="49" t="inlineStr">
        <is>
          <t>https://tuyensinh.dhsphue.edu.vn/</t>
        </is>
      </c>
      <c r="K59" s="63" t="n"/>
    </row>
    <row r="60" ht="15" customHeight="1" s="35">
      <c r="A60" s="48" t="n">
        <v>59</v>
      </c>
      <c r="B60" s="47" t="inlineStr">
        <is>
          <t>Trường Đại học Y - Dược - Đại học Huế</t>
        </is>
      </c>
      <c r="C60" s="47" t="n"/>
      <c r="D60" s="47" t="inlineStr">
        <is>
          <t>Miền Trung</t>
        </is>
      </c>
      <c r="E60" s="47" t="inlineStr">
        <is>
          <t>Huế</t>
        </is>
      </c>
      <c r="F60" s="47" t="inlineStr">
        <is>
          <t>Thừa Thiên Huế</t>
        </is>
      </c>
      <c r="G60" s="49" t="inlineStr">
        <is>
          <t>Y Dược Huế</t>
        </is>
      </c>
      <c r="H60" s="48">
        <f>COUNTA('Y Dược Huế'!$B$11:$B$500)</f>
        <v/>
      </c>
      <c r="I60" s="49" t="inlineStr">
        <is>
          <t>https://huemed-univ.edu.vn/</t>
        </is>
      </c>
      <c r="J60" s="49" t="inlineStr">
        <is>
          <t>https://tuyensinh.huemed-univ.edu.vn/</t>
        </is>
      </c>
      <c r="K60" s="63" t="n"/>
    </row>
    <row r="61" ht="15" customHeight="1" s="35">
      <c r="A61" s="48" t="n">
        <v>60</v>
      </c>
      <c r="B61" s="47" t="inlineStr">
        <is>
          <t>Trường Đại học Nghệ thuật - Đại học Huế</t>
        </is>
      </c>
      <c r="C61" s="47" t="n"/>
      <c r="D61" s="47" t="inlineStr">
        <is>
          <t>Miền Trung</t>
        </is>
      </c>
      <c r="E61" s="47" t="inlineStr">
        <is>
          <t>Huế</t>
        </is>
      </c>
      <c r="F61" s="47" t="inlineStr">
        <is>
          <t>Thừa Thiên Huế</t>
        </is>
      </c>
      <c r="G61" s="49" t="inlineStr">
        <is>
          <t>Nghệ thuật Huế</t>
        </is>
      </c>
      <c r="H61" s="48">
        <f>COUNTA('Nghệ thuật Huế'!$B$11:$B$500)</f>
        <v/>
      </c>
      <c r="I61" s="49" t="inlineStr">
        <is>
          <t>https://hufa.edu.vn/</t>
        </is>
      </c>
      <c r="J61" s="49" t="inlineStr">
        <is>
          <t>https://tuyensinh.hufa.edu.vn/</t>
        </is>
      </c>
      <c r="K61" s="63" t="n"/>
    </row>
    <row r="62" ht="15" customHeight="1" s="35">
      <c r="A62" s="48" t="n">
        <v>61</v>
      </c>
      <c r="B62" s="47" t="inlineStr">
        <is>
          <t>Trường Du lịch - Đại học Huế</t>
        </is>
      </c>
      <c r="C62" s="47" t="n"/>
      <c r="D62" s="47" t="inlineStr">
        <is>
          <t>Miền Trung</t>
        </is>
      </c>
      <c r="E62" s="47" t="inlineStr">
        <is>
          <t>Huế</t>
        </is>
      </c>
      <c r="F62" s="47" t="inlineStr">
        <is>
          <t>Thừa Thiên Huế</t>
        </is>
      </c>
      <c r="G62" s="49" t="inlineStr">
        <is>
          <t>Du lịch Huế</t>
        </is>
      </c>
      <c r="H62" s="48">
        <f>COUNTA('Du lịch Huế'!$B$11:$B$500)</f>
        <v/>
      </c>
      <c r="I62" s="49" t="inlineStr">
        <is>
          <t>https://huht.edu.vn/</t>
        </is>
      </c>
      <c r="J62" s="49" t="inlineStr">
        <is>
          <t>https://tuyensinh.huht.edu.vn/</t>
        </is>
      </c>
      <c r="K62" s="63" t="n"/>
    </row>
    <row r="63" ht="15" customHeight="1" s="35">
      <c r="A63" s="48" t="n">
        <v>62</v>
      </c>
      <c r="B63" s="47" t="inlineStr">
        <is>
          <t>Trường Đại học Nông Lâm - Đại học Huế</t>
        </is>
      </c>
      <c r="C63" s="47" t="n"/>
      <c r="D63" s="47" t="inlineStr">
        <is>
          <t>Miền Trung</t>
        </is>
      </c>
      <c r="E63" s="47" t="inlineStr">
        <is>
          <t>Huế</t>
        </is>
      </c>
      <c r="F63" s="47" t="inlineStr">
        <is>
          <t>Thừa Thiên Huế</t>
        </is>
      </c>
      <c r="G63" s="49" t="inlineStr">
        <is>
          <t>Nông Lâm Huế</t>
        </is>
      </c>
      <c r="H63" s="48">
        <f>COUNTA('Nông Lâm Huế'!$B$11:$B$500)</f>
        <v/>
      </c>
      <c r="I63" s="49" t="inlineStr">
        <is>
          <t>https://huaf.edu.vn/</t>
        </is>
      </c>
      <c r="J63" s="49" t="inlineStr">
        <is>
          <t>https://tuyensinh.huaf.edu.vn/</t>
        </is>
      </c>
      <c r="K63" s="63" t="n"/>
    </row>
    <row r="64" ht="15" customHeight="1" s="35">
      <c r="A64" s="48" t="n">
        <v>63</v>
      </c>
      <c r="B64" s="47" t="inlineStr">
        <is>
          <t>Trường Đại học Nha Trang</t>
        </is>
      </c>
      <c r="C64" s="47" t="n"/>
      <c r="D64" s="47" t="inlineStr">
        <is>
          <t>Miền Trung</t>
        </is>
      </c>
      <c r="E64" s="47" t="inlineStr">
        <is>
          <t>Khánh Hòa</t>
        </is>
      </c>
      <c r="F64" s="47" t="inlineStr">
        <is>
          <t>Khánh Hòa</t>
        </is>
      </c>
      <c r="G64" s="49" t="inlineStr">
        <is>
          <t>NTU</t>
        </is>
      </c>
      <c r="H64" s="48">
        <f>COUNTA(NTU!$B$11:$B$500)</f>
        <v/>
      </c>
      <c r="I64" s="49" t="inlineStr">
        <is>
          <t>https://ntu.edu.vn/</t>
        </is>
      </c>
      <c r="J64" s="49" t="inlineStr">
        <is>
          <t>https://tuyensinh.ntu.edu.vn/</t>
        </is>
      </c>
      <c r="K64" s="63" t="n"/>
    </row>
    <row r="65" ht="15" customHeight="1" s="35">
      <c r="A65" s="48" t="n">
        <v>64</v>
      </c>
      <c r="B65" s="47" t="inlineStr">
        <is>
          <t>Trường Đại học Quy Nhơn</t>
        </is>
      </c>
      <c r="C65" s="47" t="n"/>
      <c r="D65" s="47" t="inlineStr">
        <is>
          <t>Miền Trung</t>
        </is>
      </c>
      <c r="E65" s="47" t="inlineStr">
        <is>
          <t>Gia Lai</t>
        </is>
      </c>
      <c r="F65" s="47" t="inlineStr">
        <is>
          <t>Bình Định</t>
        </is>
      </c>
      <c r="G65" s="49" t="inlineStr">
        <is>
          <t>QNU</t>
        </is>
      </c>
      <c r="H65" s="48">
        <f>COUNTA(QNU!$B$11:$B$500)</f>
        <v/>
      </c>
      <c r="I65" s="49" t="inlineStr">
        <is>
          <t>https://qnu.edu.vn/</t>
        </is>
      </c>
      <c r="J65" s="49" t="inlineStr">
        <is>
          <t>https://tuyensinh.qnu.edu.vn/</t>
        </is>
      </c>
      <c r="K65" s="63" t="n"/>
    </row>
    <row r="66" ht="15" customHeight="1" s="35">
      <c r="A66" s="48" t="n">
        <v>65</v>
      </c>
      <c r="B66" s="47" t="inlineStr">
        <is>
          <t>Trường Đại học Đà Lạt</t>
        </is>
      </c>
      <c r="C66" s="47" t="n"/>
      <c r="D66" s="47" t="inlineStr">
        <is>
          <t>Miền Trung</t>
        </is>
      </c>
      <c r="E66" s="47" t="inlineStr">
        <is>
          <t>Lâm Đồng</t>
        </is>
      </c>
      <c r="F66" s="47" t="inlineStr">
        <is>
          <t>Lâm Đồng</t>
        </is>
      </c>
      <c r="G66" s="49" t="inlineStr">
        <is>
          <t>DLU</t>
        </is>
      </c>
      <c r="H66" s="48">
        <f>COUNTA(DLU!$B$11:$B$500)</f>
        <v/>
      </c>
      <c r="I66" s="49" t="inlineStr">
        <is>
          <t>https://dlu.edu.vn/</t>
        </is>
      </c>
      <c r="J66" s="49" t="inlineStr">
        <is>
          <t>https://tuyensinh.dlu.edu.vn/</t>
        </is>
      </c>
      <c r="K66" s="63" t="n"/>
    </row>
    <row r="67" ht="15" customHeight="1" s="35">
      <c r="A67" s="48" t="n">
        <v>66</v>
      </c>
      <c r="B67" s="47" t="inlineStr">
        <is>
          <t>Trường Đại học Tây Nguyên</t>
        </is>
      </c>
      <c r="C67" s="47" t="n"/>
      <c r="D67" s="47" t="inlineStr">
        <is>
          <t>Miền Trung</t>
        </is>
      </c>
      <c r="E67" s="47" t="inlineStr">
        <is>
          <t>Đắk Lắk</t>
        </is>
      </c>
      <c r="F67" s="47" t="inlineStr">
        <is>
          <t>Đắk Lắk</t>
        </is>
      </c>
      <c r="G67" s="49" t="inlineStr">
        <is>
          <t>ĐH Tây Nguyên</t>
        </is>
      </c>
      <c r="H67" s="48">
        <f>COUNTA('ĐH Tây Nguyên'!$B$11:$B$500)</f>
        <v/>
      </c>
      <c r="I67" s="49" t="inlineStr">
        <is>
          <t>https://ttn.edu.vn/</t>
        </is>
      </c>
      <c r="J67" s="49" t="inlineStr">
        <is>
          <t>https://tuyensinh.ttn.edu.vn/</t>
        </is>
      </c>
      <c r="K67" s="63" t="n"/>
    </row>
    <row r="68" ht="15" customHeight="1" s="35">
      <c r="A68" s="48" t="n">
        <v>67</v>
      </c>
      <c r="B68" s="47" t="inlineStr">
        <is>
          <t>Trường Đại học Hồng Đức</t>
        </is>
      </c>
      <c r="C68" s="47" t="n"/>
      <c r="D68" s="47" t="inlineStr">
        <is>
          <t>Miền Trung</t>
        </is>
      </c>
      <c r="E68" s="47" t="inlineStr">
        <is>
          <t>Thanh Hóa</t>
        </is>
      </c>
      <c r="F68" s="47" t="inlineStr">
        <is>
          <t>Thanh Hóa</t>
        </is>
      </c>
      <c r="G68" s="49" t="inlineStr">
        <is>
          <t>ĐH Hồng Đức</t>
        </is>
      </c>
      <c r="H68" s="48">
        <f>COUNTA('ĐH Hồng Đức'!$B$11:$B$500)</f>
        <v/>
      </c>
      <c r="I68" s="49" t="inlineStr">
        <is>
          <t>https://hdu.edu.vn/</t>
        </is>
      </c>
      <c r="J68" s="49" t="inlineStr">
        <is>
          <t>https://tuyensinh.hdu.edu.vn/</t>
        </is>
      </c>
      <c r="K68" s="63" t="n"/>
    </row>
    <row r="69" ht="15" customHeight="1" s="35">
      <c r="A69" s="48" t="n">
        <v>68</v>
      </c>
      <c r="B69" s="47" t="inlineStr">
        <is>
          <t>Trường Đại học Bách khoa - ĐHQG TP.HCM (HCMUT)</t>
        </is>
      </c>
      <c r="C69" s="47" t="inlineStr">
        <is>
          <t>HCMUT</t>
        </is>
      </c>
      <c r="D69" s="47" t="inlineStr">
        <is>
          <t>Miền Nam</t>
        </is>
      </c>
      <c r="E69" s="47" t="inlineStr">
        <is>
          <t>TP. Hồ Chí Minh</t>
        </is>
      </c>
      <c r="F69" s="47" t="inlineStr">
        <is>
          <t>TP. Hồ Chí Minh</t>
        </is>
      </c>
      <c r="G69" s="49" t="inlineStr">
        <is>
          <t>HCMUT</t>
        </is>
      </c>
      <c r="H69" s="48">
        <f>COUNTA(HCMUT!$B$11:$B$500)</f>
        <v/>
      </c>
      <c r="I69" s="49" t="inlineStr">
        <is>
          <t>https://hcmut.edu.vn/</t>
        </is>
      </c>
      <c r="J69" s="49" t="inlineStr">
        <is>
          <t>https://tuyensinh.hcmut.edu.vn/ hoặc https://mybk.hcmut.edu.vn/tuyensinh/</t>
        </is>
      </c>
      <c r="K69" s="63" t="n"/>
    </row>
    <row r="70" ht="15" customHeight="1" s="35">
      <c r="A70" s="48" t="n">
        <v>69</v>
      </c>
      <c r="B70" s="47" t="inlineStr">
        <is>
          <t>Trường Đại học Khoa học Tự nhiên - ĐHQG TP.HCM (HCMUS)</t>
        </is>
      </c>
      <c r="C70" s="47" t="inlineStr">
        <is>
          <t>HCMUS</t>
        </is>
      </c>
      <c r="D70" s="47" t="inlineStr">
        <is>
          <t>Miền Nam</t>
        </is>
      </c>
      <c r="E70" s="47" t="inlineStr">
        <is>
          <t>TP. Hồ Chí Minh</t>
        </is>
      </c>
      <c r="F70" s="47" t="inlineStr">
        <is>
          <t>TP. Hồ Chí Minh</t>
        </is>
      </c>
      <c r="G70" s="49" t="inlineStr">
        <is>
          <t>HCMUS</t>
        </is>
      </c>
      <c r="H70" s="48">
        <f>COUNTA(HCMUS!$B$11:$B$500)</f>
        <v/>
      </c>
      <c r="I70" s="49" t="inlineStr">
        <is>
          <t>https://hcmus.edu.vn/</t>
        </is>
      </c>
      <c r="J70" s="49" t="inlineStr">
        <is>
          <t>https://tuyensinh.hcmus.edu.vn/</t>
        </is>
      </c>
      <c r="K70" s="63" t="n"/>
    </row>
    <row r="71" ht="15" customHeight="1" s="35">
      <c r="A71" s="48" t="n">
        <v>70</v>
      </c>
      <c r="B71" s="47" t="inlineStr">
        <is>
          <t>Trường Đại học Công nghệ Thông tin - ĐHQG TP.HCM (UIT)</t>
        </is>
      </c>
      <c r="C71" s="47" t="inlineStr">
        <is>
          <t>UIT</t>
        </is>
      </c>
      <c r="D71" s="47" t="inlineStr">
        <is>
          <t>Miền Nam</t>
        </is>
      </c>
      <c r="E71" s="47" t="inlineStr">
        <is>
          <t>TP. Hồ Chí Minh</t>
        </is>
      </c>
      <c r="F71" s="47" t="inlineStr">
        <is>
          <t>TP. Hồ Chí Minh</t>
        </is>
      </c>
      <c r="G71" s="49" t="inlineStr">
        <is>
          <t>UIT</t>
        </is>
      </c>
      <c r="H71" s="48">
        <f>COUNTA(UIT!$B$11:$B$500)</f>
        <v/>
      </c>
      <c r="I71" s="49" t="inlineStr">
        <is>
          <t>https://uit.edu.vn/</t>
        </is>
      </c>
      <c r="J71" s="49" t="inlineStr">
        <is>
          <t>https://tuyensinh.uit.edu.vn/</t>
        </is>
      </c>
      <c r="K71" s="63" t="n"/>
    </row>
    <row r="72" ht="15" customHeight="1" s="35">
      <c r="A72" s="48" t="n">
        <v>71</v>
      </c>
      <c r="B72" s="47" t="inlineStr">
        <is>
          <t>Trường Đại học Kinh tế - Luật - ĐHQG TP.HCM (UEL)</t>
        </is>
      </c>
      <c r="C72" s="47" t="inlineStr">
        <is>
          <t>UEL</t>
        </is>
      </c>
      <c r="D72" s="47" t="inlineStr">
        <is>
          <t>Miền Nam</t>
        </is>
      </c>
      <c r="E72" s="47" t="inlineStr">
        <is>
          <t>TP. Hồ Chí Minh</t>
        </is>
      </c>
      <c r="F72" s="47" t="inlineStr">
        <is>
          <t>TP. Hồ Chí Minh</t>
        </is>
      </c>
      <c r="G72" s="49" t="inlineStr">
        <is>
          <t>UEL</t>
        </is>
      </c>
      <c r="H72" s="48">
        <f>COUNTA(UEL!$B$11:$B$500)</f>
        <v/>
      </c>
      <c r="I72" s="49" t="inlineStr">
        <is>
          <t>https://uel.edu.vn/</t>
        </is>
      </c>
      <c r="J72" s="49" t="inlineStr">
        <is>
          <t>https://tuyensinh.uel.edu.vn/</t>
        </is>
      </c>
      <c r="K72" s="63" t="n"/>
    </row>
    <row r="73" ht="15" customHeight="1" s="35">
      <c r="A73" s="48" t="n">
        <v>72</v>
      </c>
      <c r="B73" s="47" t="inlineStr">
        <is>
          <t>Trường Đại học Quốc tế - ĐHQG TP.HCM (IU)</t>
        </is>
      </c>
      <c r="C73" s="47" t="inlineStr">
        <is>
          <t>IU</t>
        </is>
      </c>
      <c r="D73" s="47" t="inlineStr">
        <is>
          <t>Miền Nam</t>
        </is>
      </c>
      <c r="E73" s="47" t="inlineStr">
        <is>
          <t>TP. Hồ Chí Minh</t>
        </is>
      </c>
      <c r="F73" s="47" t="inlineStr">
        <is>
          <t>TP. Hồ Chí Minh</t>
        </is>
      </c>
      <c r="G73" s="49" t="inlineStr">
        <is>
          <t>IU (HCMIU)</t>
        </is>
      </c>
      <c r="H73" s="48">
        <f>COUNTA('IU (HCMIU)'!$B$11:$B$500)</f>
        <v/>
      </c>
      <c r="I73" s="49" t="inlineStr">
        <is>
          <t>https://hcmiu.edu.vn/</t>
        </is>
      </c>
      <c r="J73" s="49" t="inlineStr">
        <is>
          <t>https://tuyensinh.hcmiu.edu.vn/</t>
        </is>
      </c>
      <c r="K73" s="63" t="n"/>
    </row>
    <row r="74" ht="15" customHeight="1" s="35">
      <c r="A74" s="48" t="n">
        <v>73</v>
      </c>
      <c r="B74" s="47" t="inlineStr">
        <is>
          <t>Trường Đại học Khoa học Xã hội và Nhân văn - ĐHQG TP.HCM</t>
        </is>
      </c>
      <c r="C74" s="47" t="n"/>
      <c r="D74" s="47" t="inlineStr">
        <is>
          <t>Miền Nam</t>
        </is>
      </c>
      <c r="E74" s="47" t="inlineStr">
        <is>
          <t>TP. Hồ Chí Minh</t>
        </is>
      </c>
      <c r="F74" s="47" t="inlineStr">
        <is>
          <t>TP. Hồ Chí Minh</t>
        </is>
      </c>
      <c r="G74" s="49" t="inlineStr">
        <is>
          <t>USSH TP.HCM</t>
        </is>
      </c>
      <c r="H74" s="48">
        <f>COUNTA('USSH TP.HCM'!$B$11:$B$500)</f>
        <v/>
      </c>
      <c r="I74" s="49" t="inlineStr">
        <is>
          <t>https://hcmussh.edu.vn/</t>
        </is>
      </c>
      <c r="J74" s="49" t="inlineStr">
        <is>
          <t>https://tuyensinh.hcmussh.edu.vn/</t>
        </is>
      </c>
      <c r="K74" s="63" t="n"/>
    </row>
    <row r="75" ht="15" customHeight="1" s="35">
      <c r="A75" s="48" t="n">
        <v>74</v>
      </c>
      <c r="B75" s="47" t="inlineStr">
        <is>
          <t>Đại học Kinh tế TP.HCM (UEH)</t>
        </is>
      </c>
      <c r="C75" s="47" t="inlineStr">
        <is>
          <t>UEH</t>
        </is>
      </c>
      <c r="D75" s="47" t="inlineStr">
        <is>
          <t>Miền Nam</t>
        </is>
      </c>
      <c r="E75" s="47" t="inlineStr">
        <is>
          <t>TP. Hồ Chí Minh</t>
        </is>
      </c>
      <c r="F75" s="47" t="inlineStr">
        <is>
          <t>TP. Hồ Chí Minh</t>
        </is>
      </c>
      <c r="G75" s="49" t="inlineStr">
        <is>
          <t>UEH</t>
        </is>
      </c>
      <c r="H75" s="48">
        <f>COUNTA(UEH!$B$11:$B$500)</f>
        <v/>
      </c>
      <c r="I75" s="49" t="inlineStr">
        <is>
          <t>https://ueh.edu.vn/</t>
        </is>
      </c>
      <c r="J75" s="49" t="inlineStr">
        <is>
          <t>https://tuyensinh.ueh.edu.vn/</t>
        </is>
      </c>
      <c r="K75" s="63" t="n"/>
    </row>
    <row r="76" ht="15" customHeight="1" s="35">
      <c r="A76" s="48" t="n">
        <v>75</v>
      </c>
      <c r="B76" s="47" t="inlineStr">
        <is>
          <t>Trường Đại học Tôn Đức Thắng (TDTU)</t>
        </is>
      </c>
      <c r="C76" s="47" t="inlineStr">
        <is>
          <t>TDTU</t>
        </is>
      </c>
      <c r="D76" s="47" t="inlineStr">
        <is>
          <t>Miền Nam</t>
        </is>
      </c>
      <c r="E76" s="47" t="inlineStr">
        <is>
          <t>TP. Hồ Chí Minh</t>
        </is>
      </c>
      <c r="F76" s="47" t="inlineStr">
        <is>
          <t>TP. Hồ Chí Minh</t>
        </is>
      </c>
      <c r="G76" s="49" t="inlineStr">
        <is>
          <t>TDTU</t>
        </is>
      </c>
      <c r="H76" s="48">
        <f>COUNTA(TDTU!$B$11:$B$500)</f>
        <v/>
      </c>
      <c r="I76" s="49" t="inlineStr">
        <is>
          <t>https://tdtu.edu.vn/</t>
        </is>
      </c>
      <c r="J76" s="49" t="inlineStr">
        <is>
          <t>https://tuyensinh.tdtu.edu.vn/</t>
        </is>
      </c>
      <c r="K76" s="63" t="n"/>
    </row>
    <row r="77" ht="15" customHeight="1" s="35">
      <c r="A77" s="48" t="n">
        <v>76</v>
      </c>
      <c r="B77" s="47" t="inlineStr">
        <is>
          <t>Trường Đại học Sư phạm TP.HCM (HCMUE)</t>
        </is>
      </c>
      <c r="C77" s="47" t="inlineStr">
        <is>
          <t>HCMUE</t>
        </is>
      </c>
      <c r="D77" s="47" t="inlineStr">
        <is>
          <t>Miền Nam</t>
        </is>
      </c>
      <c r="E77" s="47" t="inlineStr">
        <is>
          <t>TP. Hồ Chí Minh</t>
        </is>
      </c>
      <c r="F77" s="47" t="inlineStr">
        <is>
          <t>TP. Hồ Chí Minh</t>
        </is>
      </c>
      <c r="G77" s="49" t="inlineStr">
        <is>
          <t>HCMUE</t>
        </is>
      </c>
      <c r="H77" s="48">
        <f>COUNTA(HCMUE!$B$11:$B$500)</f>
        <v/>
      </c>
      <c r="I77" s="49" t="inlineStr">
        <is>
          <t>https://hcmue.edu.vn/</t>
        </is>
      </c>
      <c r="J77" s="49" t="inlineStr">
        <is>
          <t>https://tuyensinh.hcmue.edu.vn/</t>
        </is>
      </c>
      <c r="K77" s="63" t="n"/>
    </row>
    <row r="78" ht="15" customHeight="1" s="35">
      <c r="A78" s="48" t="n">
        <v>77</v>
      </c>
      <c r="B78" s="47" t="inlineStr">
        <is>
          <t>Trường Đại học Sư phạm Kỹ thuật TP.HCM (HCMUTE)</t>
        </is>
      </c>
      <c r="C78" s="47" t="inlineStr">
        <is>
          <t>HCMUTE</t>
        </is>
      </c>
      <c r="D78" s="47" t="inlineStr">
        <is>
          <t>Miền Nam</t>
        </is>
      </c>
      <c r="E78" s="47" t="inlineStr">
        <is>
          <t>TP. Hồ Chí Minh</t>
        </is>
      </c>
      <c r="F78" s="47" t="inlineStr">
        <is>
          <t>TP. Hồ Chí Minh</t>
        </is>
      </c>
      <c r="G78" s="49" t="inlineStr">
        <is>
          <t>HCMUTE</t>
        </is>
      </c>
      <c r="H78" s="48">
        <f>COUNTA(HCMUTE!$B$11:$B$500)</f>
        <v/>
      </c>
      <c r="I78" s="49" t="inlineStr">
        <is>
          <t>https://hcmute.edu.vn/</t>
        </is>
      </c>
      <c r="J78" s="49" t="inlineStr">
        <is>
          <t>https://tuyensinh.hcmute.edu.vn/</t>
        </is>
      </c>
      <c r="K78" s="63" t="n"/>
    </row>
    <row r="79" ht="15" customHeight="1" s="35">
      <c r="A79" s="48" t="n">
        <v>78</v>
      </c>
      <c r="B79" s="47" t="inlineStr">
        <is>
          <t>Trường Đại học Công nghiệp TP.HCM (IUH)</t>
        </is>
      </c>
      <c r="C79" s="47" t="inlineStr">
        <is>
          <t>IUH</t>
        </is>
      </c>
      <c r="D79" s="47" t="inlineStr">
        <is>
          <t>Miền Nam</t>
        </is>
      </c>
      <c r="E79" s="47" t="inlineStr">
        <is>
          <t>TP. Hồ Chí Minh</t>
        </is>
      </c>
      <c r="F79" s="47" t="inlineStr">
        <is>
          <t>TP. Hồ Chí Minh</t>
        </is>
      </c>
      <c r="G79" s="49" t="inlineStr">
        <is>
          <t>IUH</t>
        </is>
      </c>
      <c r="H79" s="48">
        <f>COUNTA(IUH!$B$11:$B$500)</f>
        <v/>
      </c>
      <c r="I79" s="49" t="inlineStr">
        <is>
          <t>https://iuh.edu.vn/</t>
        </is>
      </c>
      <c r="J79" s="49" t="inlineStr">
        <is>
          <t>https://tuyensinh.iuh.edu.vn/</t>
        </is>
      </c>
      <c r="K79" s="63" t="n"/>
    </row>
    <row r="80" ht="15" customHeight="1" s="35">
      <c r="A80" s="48" t="n">
        <v>79</v>
      </c>
      <c r="B80" s="47" t="inlineStr">
        <is>
          <t>Trường Đại học Công Thương TP.HCM (HUIT)</t>
        </is>
      </c>
      <c r="C80" s="47" t="inlineStr">
        <is>
          <t>HUIT</t>
        </is>
      </c>
      <c r="D80" s="47" t="inlineStr">
        <is>
          <t>Miền Nam</t>
        </is>
      </c>
      <c r="E80" s="47" t="inlineStr">
        <is>
          <t>TP. Hồ Chí Minh</t>
        </is>
      </c>
      <c r="F80" s="47" t="inlineStr">
        <is>
          <t>TP. Hồ Chí Minh</t>
        </is>
      </c>
      <c r="G80" s="49" t="inlineStr">
        <is>
          <t>HUIT</t>
        </is>
      </c>
      <c r="H80" s="48">
        <f>COUNTA(HUIT!$B$11:$B$500)</f>
        <v/>
      </c>
      <c r="I80" s="49" t="inlineStr">
        <is>
          <t>https://huit.edu.vn/</t>
        </is>
      </c>
      <c r="J80" s="49" t="inlineStr">
        <is>
          <t>https://tuyensinh.huit.edu.vn/</t>
        </is>
      </c>
      <c r="K80" s="63" t="n"/>
    </row>
    <row r="81" ht="15" customHeight="1" s="35">
      <c r="A81" s="48" t="n">
        <v>80</v>
      </c>
      <c r="B81" s="47" t="inlineStr">
        <is>
          <t>Trường Đại học Giao thông vận tải TP.HCM (UTH)</t>
        </is>
      </c>
      <c r="C81" s="47" t="inlineStr">
        <is>
          <t>UTH</t>
        </is>
      </c>
      <c r="D81" s="47" t="inlineStr">
        <is>
          <t>Miền Nam</t>
        </is>
      </c>
      <c r="E81" s="47" t="inlineStr">
        <is>
          <t>TP. Hồ Chí Minh</t>
        </is>
      </c>
      <c r="F81" s="47" t="inlineStr">
        <is>
          <t>TP. Hồ Chí Minh</t>
        </is>
      </c>
      <c r="G81" s="49" t="inlineStr">
        <is>
          <t>UTH</t>
        </is>
      </c>
      <c r="H81" s="48">
        <f>COUNTA(UTH!$B$11:$B$500)</f>
        <v/>
      </c>
      <c r="I81" s="49" t="inlineStr">
        <is>
          <t>https://ut.edu.vn/</t>
        </is>
      </c>
      <c r="J81" s="49" t="inlineStr">
        <is>
          <t>https://tuyensinh.ut.edu.vn/</t>
        </is>
      </c>
      <c r="K81" s="63" t="n"/>
    </row>
    <row r="82" ht="15" customHeight="1" s="35">
      <c r="A82" s="48" t="n">
        <v>81</v>
      </c>
      <c r="B82" s="47" t="inlineStr">
        <is>
          <t>Trường Đại học Mở TP.HCM (OU)</t>
        </is>
      </c>
      <c r="C82" s="47" t="inlineStr">
        <is>
          <t>OU</t>
        </is>
      </c>
      <c r="D82" s="47" t="inlineStr">
        <is>
          <t>Miền Nam</t>
        </is>
      </c>
      <c r="E82" s="47" t="inlineStr">
        <is>
          <t>TP. Hồ Chí Minh</t>
        </is>
      </c>
      <c r="F82" s="47" t="inlineStr">
        <is>
          <t>TP. Hồ Chí Minh</t>
        </is>
      </c>
      <c r="G82" s="49" t="inlineStr">
        <is>
          <t>OU</t>
        </is>
      </c>
      <c r="H82" s="48">
        <f>COUNTA(OU!$B$11:$B$500)</f>
        <v/>
      </c>
      <c r="I82" s="49" t="inlineStr">
        <is>
          <t>https://ou.edu.vn/</t>
        </is>
      </c>
      <c r="J82" s="49" t="inlineStr">
        <is>
          <t>https://tuyensinh.ou.edu.vn/</t>
        </is>
      </c>
      <c r="K82" s="63" t="n"/>
    </row>
    <row r="83" ht="15" customHeight="1" s="35">
      <c r="A83" s="48" t="n">
        <v>82</v>
      </c>
      <c r="B83" s="47" t="inlineStr">
        <is>
          <t>Trường Đại học Tài chính - Marketing (UFM)</t>
        </is>
      </c>
      <c r="C83" s="47" t="inlineStr">
        <is>
          <t>UFM</t>
        </is>
      </c>
      <c r="D83" s="47" t="inlineStr">
        <is>
          <t>Miền Nam</t>
        </is>
      </c>
      <c r="E83" s="47" t="inlineStr">
        <is>
          <t>TP. Hồ Chí Minh</t>
        </is>
      </c>
      <c r="F83" s="47" t="inlineStr">
        <is>
          <t>TP. Hồ Chí Minh</t>
        </is>
      </c>
      <c r="G83" s="49" t="inlineStr">
        <is>
          <t>UFM</t>
        </is>
      </c>
      <c r="H83" s="48">
        <f>COUNTA(UFM!$B$11:$B$500)</f>
        <v/>
      </c>
      <c r="I83" s="49" t="inlineStr">
        <is>
          <t>https://ufm.edu.vn/</t>
        </is>
      </c>
      <c r="J83" s="49" t="inlineStr">
        <is>
          <t>https://tuyensinh.ufm.edu.vn/</t>
        </is>
      </c>
      <c r="K83" s="63" t="n"/>
    </row>
    <row r="84" ht="15" customHeight="1" s="35">
      <c r="A84" s="48" t="n">
        <v>83</v>
      </c>
      <c r="B84" s="47" t="inlineStr">
        <is>
          <t>Trường Đại học Ngân hàng TP.HCM (HUB)</t>
        </is>
      </c>
      <c r="C84" s="47" t="inlineStr">
        <is>
          <t>HUB</t>
        </is>
      </c>
      <c r="D84" s="47" t="inlineStr">
        <is>
          <t>Miền Nam</t>
        </is>
      </c>
      <c r="E84" s="47" t="inlineStr">
        <is>
          <t>TP. Hồ Chí Minh</t>
        </is>
      </c>
      <c r="F84" s="47" t="inlineStr">
        <is>
          <t>TP. Hồ Chí Minh</t>
        </is>
      </c>
      <c r="G84" s="49" t="inlineStr">
        <is>
          <t>HUB</t>
        </is>
      </c>
      <c r="H84" s="48">
        <f>COUNTA(HUB!$B$11:$B$500)</f>
        <v/>
      </c>
      <c r="I84" s="49" t="inlineStr">
        <is>
          <t>https://hub.edu.vn/</t>
        </is>
      </c>
      <c r="J84" s="49" t="inlineStr">
        <is>
          <t>https://tuyensinh.hub.edu.vn/</t>
        </is>
      </c>
      <c r="K84" s="63" t="n"/>
    </row>
    <row r="85" ht="15" customHeight="1" s="35">
      <c r="A85" s="48" t="n">
        <v>84</v>
      </c>
      <c r="B85" s="47" t="inlineStr">
        <is>
          <t>Đại học Luật TP.HCM (ULAW)</t>
        </is>
      </c>
      <c r="C85" s="47" t="inlineStr">
        <is>
          <t>ULAW</t>
        </is>
      </c>
      <c r="D85" s="47" t="inlineStr">
        <is>
          <t>Miền Nam</t>
        </is>
      </c>
      <c r="E85" s="47" t="inlineStr">
        <is>
          <t>TP. Hồ Chí Minh</t>
        </is>
      </c>
      <c r="F85" s="47" t="inlineStr">
        <is>
          <t>TP. Hồ Chí Minh</t>
        </is>
      </c>
      <c r="G85" s="49" t="inlineStr">
        <is>
          <t>ULAW</t>
        </is>
      </c>
      <c r="H85" s="48">
        <f>COUNTA(ULAW!$B$11:$B$500)</f>
        <v/>
      </c>
      <c r="I85" s="49" t="inlineStr">
        <is>
          <t>https://hcmulaw.edu.vn/</t>
        </is>
      </c>
      <c r="J85" s="49" t="inlineStr">
        <is>
          <t>https://tuyensinh.hcmulaw.edu.vn/</t>
        </is>
      </c>
      <c r="K85" s="63" t="n"/>
    </row>
    <row r="86" ht="15" customHeight="1" s="35">
      <c r="A86" s="48" t="n">
        <v>85</v>
      </c>
      <c r="B86" s="47" t="inlineStr">
        <is>
          <t>Trường Đại học Kiến trúc TP.HCM (UAH)</t>
        </is>
      </c>
      <c r="C86" s="47" t="inlineStr">
        <is>
          <t>UAH</t>
        </is>
      </c>
      <c r="D86" s="47" t="inlineStr">
        <is>
          <t>Miền Nam</t>
        </is>
      </c>
      <c r="E86" s="47" t="inlineStr">
        <is>
          <t>TP. Hồ Chí Minh</t>
        </is>
      </c>
      <c r="F86" s="47" t="inlineStr">
        <is>
          <t>TP. Hồ Chí Minh</t>
        </is>
      </c>
      <c r="G86" s="49" t="inlineStr">
        <is>
          <t>UAH</t>
        </is>
      </c>
      <c r="H86" s="48">
        <f>COUNTA(UAH!$B$11:$B$500)</f>
        <v/>
      </c>
      <c r="I86" s="49" t="inlineStr">
        <is>
          <t>https://uah.edu.vn/</t>
        </is>
      </c>
      <c r="J86" s="49" t="inlineStr">
        <is>
          <t>https://tuyensinh.uah.edu.vn/</t>
        </is>
      </c>
      <c r="K86" s="63" t="n"/>
    </row>
    <row r="87" ht="15" customHeight="1" s="35">
      <c r="A87" s="48" t="n">
        <v>86</v>
      </c>
      <c r="B87" s="47" t="inlineStr">
        <is>
          <t>Trường Đại học Mỹ thuật TP.HCM</t>
        </is>
      </c>
      <c r="C87" s="47" t="n"/>
      <c r="D87" s="47" t="inlineStr">
        <is>
          <t>Miền Nam</t>
        </is>
      </c>
      <c r="E87" s="47" t="inlineStr">
        <is>
          <t>TP. Hồ Chí Minh</t>
        </is>
      </c>
      <c r="F87" s="47" t="inlineStr">
        <is>
          <t>TP. Hồ Chí Minh</t>
        </is>
      </c>
      <c r="G87" s="49" t="inlineStr">
        <is>
          <t>Mỹ thuật TP.HCM</t>
        </is>
      </c>
      <c r="H87" s="48">
        <f>COUNTA('Mỹ thuật TP.HCM'!$B$11:$B$500)</f>
        <v/>
      </c>
      <c r="I87" s="49" t="inlineStr">
        <is>
          <t>https://hufa.edu.vn/</t>
        </is>
      </c>
      <c r="J87" s="49" t="inlineStr">
        <is>
          <t>https://tuyensinh.hufa.edu.vn/</t>
        </is>
      </c>
      <c r="K87" s="63" t="inlineStr">
        <is>
          <t>Trang chủ/tuyển sinh trong file gốc trùng với #60 (ĐH Nghệ thuật Huế) - cần kiểm tra lại link.</t>
        </is>
      </c>
    </row>
    <row r="88" ht="15" customHeight="1" s="35">
      <c r="A88" s="48" t="n">
        <v>87</v>
      </c>
      <c r="B88" s="47" t="inlineStr">
        <is>
          <t>Trường Đại học Văn hóa TP.HCM</t>
        </is>
      </c>
      <c r="C88" s="47" t="n"/>
      <c r="D88" s="47" t="inlineStr">
        <is>
          <t>Miền Nam</t>
        </is>
      </c>
      <c r="E88" s="47" t="inlineStr">
        <is>
          <t>TP. Hồ Chí Minh</t>
        </is>
      </c>
      <c r="F88" s="47" t="inlineStr">
        <is>
          <t>TP. Hồ Chí Minh</t>
        </is>
      </c>
      <c r="G88" s="49" t="inlineStr">
        <is>
          <t>Văn hóa TP.HCM</t>
        </is>
      </c>
      <c r="H88" s="48">
        <f>COUNTA('Văn hóa TP.HCM'!$B$11:$B$500)</f>
        <v/>
      </c>
      <c r="I88" s="49" t="inlineStr">
        <is>
          <t>https://hcmuc.edu.vn/</t>
        </is>
      </c>
      <c r="J88" s="49" t="inlineStr">
        <is>
          <t>https://tuyensinh.hcmuc.edu.vn/</t>
        </is>
      </c>
      <c r="K88" s="63" t="n"/>
    </row>
    <row r="89" ht="15" customHeight="1" s="35">
      <c r="A89" s="48" t="n">
        <v>88</v>
      </c>
      <c r="B89" s="47" t="inlineStr">
        <is>
          <t>Đại học Y Dược TP.HCM (UMP)</t>
        </is>
      </c>
      <c r="C89" s="47" t="inlineStr">
        <is>
          <t>UMP</t>
        </is>
      </c>
      <c r="D89" s="47" t="inlineStr">
        <is>
          <t>Miền Nam</t>
        </is>
      </c>
      <c r="E89" s="47" t="inlineStr">
        <is>
          <t>TP. Hồ Chí Minh</t>
        </is>
      </c>
      <c r="F89" s="47" t="inlineStr">
        <is>
          <t>TP. Hồ Chí Minh</t>
        </is>
      </c>
      <c r="G89" s="49" t="inlineStr">
        <is>
          <t>UMP</t>
        </is>
      </c>
      <c r="H89" s="48">
        <f>COUNTA(UMP!$B$11:$B$500)</f>
        <v/>
      </c>
      <c r="I89" s="49" t="inlineStr">
        <is>
          <t>https://ump.edu.vn/</t>
        </is>
      </c>
      <c r="J89" s="49" t="inlineStr">
        <is>
          <t>https://tuyensinh.ump.edu.vn/</t>
        </is>
      </c>
      <c r="K89" s="63" t="n"/>
    </row>
    <row r="90" ht="15" customHeight="1" s="35">
      <c r="A90" s="48" t="n">
        <v>89</v>
      </c>
      <c r="B90" s="47" t="inlineStr">
        <is>
          <t>Trường Đại học Y khoa Phạm Ngọc Thạch</t>
        </is>
      </c>
      <c r="C90" s="47" t="n"/>
      <c r="D90" s="47" t="inlineStr">
        <is>
          <t>Miền Nam</t>
        </is>
      </c>
      <c r="E90" s="47" t="inlineStr">
        <is>
          <t>TP. Hồ Chí Minh</t>
        </is>
      </c>
      <c r="F90" s="47" t="inlineStr">
        <is>
          <t>TP. Hồ Chí Minh</t>
        </is>
      </c>
      <c r="G90" s="49" t="inlineStr">
        <is>
          <t>PNT</t>
        </is>
      </c>
      <c r="H90" s="48">
        <f>COUNTA(PNT!$B$11:$B$500)</f>
        <v/>
      </c>
      <c r="I90" s="49" t="inlineStr">
        <is>
          <t>https://pnt.edu.vn/</t>
        </is>
      </c>
      <c r="J90" s="49" t="inlineStr">
        <is>
          <t>https://tuyensinh.pnt.edu.vn/</t>
        </is>
      </c>
      <c r="K90" s="63" t="n"/>
    </row>
    <row r="91" ht="15" customHeight="1" s="35">
      <c r="A91" s="48" t="n">
        <v>90</v>
      </c>
      <c r="B91" s="47" t="inlineStr">
        <is>
          <t>Trường Đại học Nông Lâm TP.HCM (NLU)</t>
        </is>
      </c>
      <c r="C91" s="47" t="inlineStr">
        <is>
          <t>NLU</t>
        </is>
      </c>
      <c r="D91" s="47" t="inlineStr">
        <is>
          <t>Miền Nam</t>
        </is>
      </c>
      <c r="E91" s="47" t="inlineStr">
        <is>
          <t>TP. Hồ Chí Minh</t>
        </is>
      </c>
      <c r="F91" s="47" t="inlineStr">
        <is>
          <t>TP. Hồ Chí Minh</t>
        </is>
      </c>
      <c r="G91" s="49" t="inlineStr">
        <is>
          <t>NLU</t>
        </is>
      </c>
      <c r="H91" s="48">
        <f>COUNTA(NLU!$B$11:$B$500)</f>
        <v/>
      </c>
      <c r="I91" s="49" t="inlineStr">
        <is>
          <t>https://hcmuaf.edu.vn/</t>
        </is>
      </c>
      <c r="J91" s="49" t="inlineStr">
        <is>
          <t>https://tuyensinh.hcmuaf.edu.vn/</t>
        </is>
      </c>
      <c r="K91" s="63" t="n"/>
    </row>
    <row r="92" ht="15" customHeight="1" s="35">
      <c r="A92" s="48" t="n">
        <v>91</v>
      </c>
      <c r="B92" s="47" t="inlineStr">
        <is>
          <t>Trường Đại học Tài nguyên và Môi trường TP.HCM</t>
        </is>
      </c>
      <c r="C92" s="47" t="n"/>
      <c r="D92" s="47" t="inlineStr">
        <is>
          <t>Miền Nam</t>
        </is>
      </c>
      <c r="E92" s="47" t="inlineStr">
        <is>
          <t>TP. Hồ Chí Minh</t>
        </is>
      </c>
      <c r="F92" s="47" t="inlineStr">
        <is>
          <t>TP. Hồ Chí Minh</t>
        </is>
      </c>
      <c r="G92" s="49" t="inlineStr">
        <is>
          <t>HCMUNRE</t>
        </is>
      </c>
      <c r="H92" s="48">
        <f>COUNTA(HCMUNRE!$B$11:$B$500)</f>
        <v/>
      </c>
      <c r="I92" s="49" t="inlineStr">
        <is>
          <t>https://hcmunre.edu.vn/</t>
        </is>
      </c>
      <c r="J92" s="49" t="inlineStr">
        <is>
          <t>https://tuyensinh.hcmunre.edu.vn/</t>
        </is>
      </c>
      <c r="K92" s="63" t="n"/>
    </row>
    <row r="93" ht="15" customHeight="1" s="35">
      <c r="A93" s="48" t="n">
        <v>92</v>
      </c>
      <c r="B93" s="47" t="inlineStr">
        <is>
          <t>Trường Đại học Công nghệ TP.HCM (HUTECH)</t>
        </is>
      </c>
      <c r="C93" s="47" t="inlineStr">
        <is>
          <t>HUTECH</t>
        </is>
      </c>
      <c r="D93" s="47" t="inlineStr">
        <is>
          <t>Miền Nam</t>
        </is>
      </c>
      <c r="E93" s="47" t="inlineStr">
        <is>
          <t>TP. Hồ Chí Minh</t>
        </is>
      </c>
      <c r="F93" s="47" t="inlineStr">
        <is>
          <t>TP. Hồ Chí Minh</t>
        </is>
      </c>
      <c r="G93" s="49" t="inlineStr">
        <is>
          <t>HUTECH</t>
        </is>
      </c>
      <c r="H93" s="48">
        <f>COUNTA(HUTECH!$B$11:$B$500)</f>
        <v/>
      </c>
      <c r="I93" s="49" t="inlineStr">
        <is>
          <t>https://hutech.edu.vn/</t>
        </is>
      </c>
      <c r="J93" s="49" t="inlineStr">
        <is>
          <t>https://tuyensinh.hutech.edu.vn/</t>
        </is>
      </c>
      <c r="K93" s="63" t="n"/>
    </row>
    <row r="94" ht="15" customHeight="1" s="35">
      <c r="A94" s="48" t="n">
        <v>93</v>
      </c>
      <c r="B94" s="47" t="inlineStr">
        <is>
          <t>Trường Đại học Kinh tế - Tài chính TP.HCM (UEF)</t>
        </is>
      </c>
      <c r="C94" s="47" t="inlineStr">
        <is>
          <t>UEF</t>
        </is>
      </c>
      <c r="D94" s="47" t="inlineStr">
        <is>
          <t>Miền Nam</t>
        </is>
      </c>
      <c r="E94" s="47" t="inlineStr">
        <is>
          <t>TP. Hồ Chí Minh</t>
        </is>
      </c>
      <c r="F94" s="47" t="inlineStr">
        <is>
          <t>TP. Hồ Chí Minh</t>
        </is>
      </c>
      <c r="G94" s="49" t="inlineStr">
        <is>
          <t>UEF</t>
        </is>
      </c>
      <c r="H94" s="48">
        <f>COUNTA(UEF!$B$11:$B$500)</f>
        <v/>
      </c>
      <c r="I94" s="49" t="inlineStr">
        <is>
          <t>https://uef.edu.vn/</t>
        </is>
      </c>
      <c r="J94" s="49" t="inlineStr">
        <is>
          <t>https://tuyensinh.uef.edu.vn/</t>
        </is>
      </c>
      <c r="K94" s="63" t="n"/>
    </row>
    <row r="95" ht="15" customHeight="1" s="35">
      <c r="A95" s="48" t="n">
        <v>94</v>
      </c>
      <c r="B95" s="47" t="inlineStr">
        <is>
          <t>Trường Đại học Hoa Sen</t>
        </is>
      </c>
      <c r="C95" s="47" t="n"/>
      <c r="D95" s="47" t="inlineStr">
        <is>
          <t>Miền Nam</t>
        </is>
      </c>
      <c r="E95" s="47" t="inlineStr">
        <is>
          <t>TP. Hồ Chí Minh</t>
        </is>
      </c>
      <c r="F95" s="47" t="inlineStr">
        <is>
          <t>TP. Hồ Chí Minh</t>
        </is>
      </c>
      <c r="G95" s="49" t="inlineStr">
        <is>
          <t>Hoa Sen</t>
        </is>
      </c>
      <c r="H95" s="48">
        <f>COUNTA('Hoa Sen'!$B$11:$B$500)</f>
        <v/>
      </c>
      <c r="I95" s="49" t="inlineStr">
        <is>
          <t>https://hoasen.edu.vn/</t>
        </is>
      </c>
      <c r="J95" s="49" t="inlineStr">
        <is>
          <t>https://tuyensinh.hoasen.edu.vn/</t>
        </is>
      </c>
      <c r="K95" s="63" t="n"/>
    </row>
    <row r="96" ht="15" customHeight="1" s="35">
      <c r="A96" s="48" t="n">
        <v>95</v>
      </c>
      <c r="B96" s="47" t="inlineStr">
        <is>
          <t>Trường Đại học Nguyễn Tất Thành</t>
        </is>
      </c>
      <c r="C96" s="47" t="n"/>
      <c r="D96" s="47" t="inlineStr">
        <is>
          <t>Miền Nam</t>
        </is>
      </c>
      <c r="E96" s="47" t="inlineStr">
        <is>
          <t>TP. Hồ Chí Minh</t>
        </is>
      </c>
      <c r="F96" s="47" t="inlineStr">
        <is>
          <t>TP. Hồ Chí Minh</t>
        </is>
      </c>
      <c r="G96" s="49" t="inlineStr">
        <is>
          <t>NTT</t>
        </is>
      </c>
      <c r="H96" s="48">
        <f>COUNTA(NTT!$B$11:$B$500)</f>
        <v/>
      </c>
      <c r="I96" s="49" t="inlineStr">
        <is>
          <t>https://ntt.edu.vn/</t>
        </is>
      </c>
      <c r="J96" s="49" t="inlineStr">
        <is>
          <t>https://tuyensinh.ntt.edu.vn/</t>
        </is>
      </c>
      <c r="K96" s="63" t="n"/>
    </row>
    <row r="97" ht="15" customHeight="1" s="35">
      <c r="A97" s="48" t="n">
        <v>96</v>
      </c>
      <c r="B97" s="47" t="inlineStr">
        <is>
          <t>Trường Đại học Văn Lang</t>
        </is>
      </c>
      <c r="C97" s="47" t="n"/>
      <c r="D97" s="47" t="inlineStr">
        <is>
          <t>Miền Nam</t>
        </is>
      </c>
      <c r="E97" s="47" t="inlineStr">
        <is>
          <t>TP. Hồ Chí Minh</t>
        </is>
      </c>
      <c r="F97" s="47" t="inlineStr">
        <is>
          <t>TP. Hồ Chí Minh</t>
        </is>
      </c>
      <c r="G97" s="49" t="inlineStr">
        <is>
          <t>Văn Lang</t>
        </is>
      </c>
      <c r="H97" s="48">
        <f>COUNTA('Văn Lang'!$B$11:$B$500)</f>
        <v/>
      </c>
      <c r="I97" s="49" t="inlineStr">
        <is>
          <t>https://vanlanguni.edu.vn/</t>
        </is>
      </c>
      <c r="J97" s="49" t="inlineStr">
        <is>
          <t>https://tuyensinh.vanlanguni.edu.vn/</t>
        </is>
      </c>
      <c r="K97" s="63" t="n"/>
    </row>
    <row r="98" ht="15" customHeight="1" s="35">
      <c r="A98" s="48" t="n">
        <v>97</v>
      </c>
      <c r="B98" s="47" t="inlineStr">
        <is>
          <t>Trường Đại học Lạc Hồng</t>
        </is>
      </c>
      <c r="C98" s="47" t="n"/>
      <c r="D98" s="47" t="inlineStr">
        <is>
          <t>Miền Nam</t>
        </is>
      </c>
      <c r="E98" s="47" t="inlineStr">
        <is>
          <t>Đồng Nai</t>
        </is>
      </c>
      <c r="F98" s="47" t="inlineStr">
        <is>
          <t>Đồng Nai</t>
        </is>
      </c>
      <c r="G98" s="49" t="inlineStr">
        <is>
          <t>Lạc Hồng</t>
        </is>
      </c>
      <c r="H98" s="48">
        <f>COUNTA('Lạc Hồng'!$B$11:$B$500)</f>
        <v/>
      </c>
      <c r="I98" s="49" t="inlineStr">
        <is>
          <t>https://lhu.edu.vn/</t>
        </is>
      </c>
      <c r="J98" s="49" t="inlineStr">
        <is>
          <t>https://tuyensinh.lhu.edu.vn/</t>
        </is>
      </c>
      <c r="K98" s="63" t="n"/>
    </row>
    <row r="99" ht="15" customHeight="1" s="35">
      <c r="A99" s="48" t="n">
        <v>98</v>
      </c>
      <c r="B99" s="47" t="inlineStr">
        <is>
          <t>Trường Đại học Việt - Đức (VGU)</t>
        </is>
      </c>
      <c r="C99" s="47" t="inlineStr">
        <is>
          <t>VGU</t>
        </is>
      </c>
      <c r="D99" s="47" t="inlineStr">
        <is>
          <t>Miền Nam</t>
        </is>
      </c>
      <c r="E99" s="47" t="inlineStr">
        <is>
          <t>TP. Hồ Chí Minh</t>
        </is>
      </c>
      <c r="F99" s="47" t="inlineStr">
        <is>
          <t>Bình Dương</t>
        </is>
      </c>
      <c r="G99" s="49" t="inlineStr">
        <is>
          <t>VGU</t>
        </is>
      </c>
      <c r="H99" s="48">
        <f>COUNTA(VGU!$B$11:$B$500)</f>
        <v/>
      </c>
      <c r="I99" s="49" t="inlineStr">
        <is>
          <t>https://vgu.edu.vn/</t>
        </is>
      </c>
      <c r="J99" s="49" t="inlineStr">
        <is>
          <t>https://tuyensinh.vgu.edu.vn/</t>
        </is>
      </c>
      <c r="K99" s="63" t="n"/>
    </row>
    <row r="100" ht="15" customHeight="1" s="35">
      <c r="A100" s="48" t="n">
        <v>99</v>
      </c>
      <c r="B100" s="47" t="inlineStr">
        <is>
          <t>Trường Đại học Thủ Dầu Một</t>
        </is>
      </c>
      <c r="C100" s="47" t="n"/>
      <c r="D100" s="47" t="inlineStr">
        <is>
          <t>Miền Nam</t>
        </is>
      </c>
      <c r="E100" s="47" t="inlineStr">
        <is>
          <t>TP. Hồ Chí Minh</t>
        </is>
      </c>
      <c r="F100" s="47" t="inlineStr">
        <is>
          <t>Bình Dương</t>
        </is>
      </c>
      <c r="G100" s="49" t="inlineStr">
        <is>
          <t>Thủ Dầu Một</t>
        </is>
      </c>
      <c r="H100" s="48">
        <f>COUNTA('Thủ Dầu Một'!$B$11:$B$500)</f>
        <v/>
      </c>
      <c r="I100" s="49" t="inlineStr">
        <is>
          <t>https://tdmu.edu.vn/</t>
        </is>
      </c>
      <c r="J100" s="49" t="inlineStr">
        <is>
          <t>https://tuyensinh.tdmu.edu.vn/</t>
        </is>
      </c>
      <c r="K100" s="63" t="n"/>
    </row>
    <row r="101" ht="15" customHeight="1" s="35">
      <c r="A101" s="48" t="n">
        <v>100</v>
      </c>
      <c r="B101" s="47" t="inlineStr">
        <is>
          <t>Trường Đại học Cần Thơ (CTU)</t>
        </is>
      </c>
      <c r="C101" s="47" t="inlineStr">
        <is>
          <t>CTU</t>
        </is>
      </c>
      <c r="D101" s="47" t="inlineStr">
        <is>
          <t>Miền Nam</t>
        </is>
      </c>
      <c r="E101" s="47" t="inlineStr">
        <is>
          <t>Cần Thơ</t>
        </is>
      </c>
      <c r="F101" s="47" t="inlineStr">
        <is>
          <t>Cần Thơ</t>
        </is>
      </c>
      <c r="G101" s="49" t="inlineStr">
        <is>
          <t>CTU</t>
        </is>
      </c>
      <c r="H101" s="48">
        <f>COUNTA(CTU!$B$11:$B$500)</f>
        <v/>
      </c>
      <c r="I101" s="49" t="inlineStr">
        <is>
          <t>https://ctu.edu.vn/</t>
        </is>
      </c>
      <c r="J101" s="49" t="inlineStr">
        <is>
          <t>https://tuyensinh.ctu.edu.vn/</t>
        </is>
      </c>
      <c r="K101" s="63" t="n"/>
    </row>
    <row r="102" ht="15" customHeight="1" s="35">
      <c r="A102" s="48" t="n">
        <v>101</v>
      </c>
      <c r="B102" s="47" t="inlineStr">
        <is>
          <t>Học viện Kỹ thuật Quân sự (MTA)</t>
        </is>
      </c>
      <c r="C102" s="47" t="inlineStr">
        <is>
          <t>MTA</t>
        </is>
      </c>
      <c r="D102" s="47" t="inlineStr">
        <is>
          <t>Miền Bắc</t>
        </is>
      </c>
      <c r="E102" s="47" t="inlineStr">
        <is>
          <t>Hà Nội</t>
        </is>
      </c>
      <c r="F102" s="47" t="inlineStr">
        <is>
          <t>Hà Nội</t>
        </is>
      </c>
      <c r="G102" s="49" t="inlineStr">
        <is>
          <t>MTA</t>
        </is>
      </c>
      <c r="H102" s="48">
        <f>COUNTA(MTA!$B$11:$B$500)</f>
        <v/>
      </c>
      <c r="I102" s="49" t="inlineStr">
        <is>
          <t>https://mta.edu.vn/</t>
        </is>
      </c>
      <c r="J102" s="49" t="inlineStr">
        <is>
          <t>https://mta.edu.vn/ (mục Tuyển sinh)</t>
        </is>
      </c>
      <c r="K102" s="63" t="n"/>
    </row>
    <row r="103" ht="15" customHeight="1" s="35">
      <c r="A103" s="48" t="n">
        <v>102</v>
      </c>
      <c r="B103" s="47" t="inlineStr">
        <is>
          <t>Học viện Quân y</t>
        </is>
      </c>
      <c r="C103" s="47" t="n"/>
      <c r="D103" s="47" t="inlineStr">
        <is>
          <t>Miền Bắc</t>
        </is>
      </c>
      <c r="E103" s="47" t="inlineStr">
        <is>
          <t>Hà Nội</t>
        </is>
      </c>
      <c r="F103" s="47" t="inlineStr">
        <is>
          <t>Hà Nội</t>
        </is>
      </c>
      <c r="G103" s="49" t="inlineStr">
        <is>
          <t>HV Quân y</t>
        </is>
      </c>
      <c r="H103" s="48">
        <f>COUNTA('HV Quân y'!$B$11:$B$500)</f>
        <v/>
      </c>
      <c r="I103" s="49" t="inlineStr">
        <is>
          <t>https://hvqy.edu.vn/</t>
        </is>
      </c>
      <c r="J103" s="49" t="inlineStr">
        <is>
          <t>https://tuyensinh.hvqy.edu.vn/</t>
        </is>
      </c>
      <c r="K103" s="63" t="n"/>
    </row>
    <row r="104" ht="15" customHeight="1" s="35">
      <c r="A104" s="48" t="n">
        <v>103</v>
      </c>
      <c r="B104" s="47" t="inlineStr">
        <is>
          <t>Học viện Khoa học Quân sự</t>
        </is>
      </c>
      <c r="C104" s="47" t="n"/>
      <c r="D104" s="47" t="inlineStr">
        <is>
          <t>Miền Bắc</t>
        </is>
      </c>
      <c r="E104" s="47" t="inlineStr">
        <is>
          <t>Hà Nội</t>
        </is>
      </c>
      <c r="F104" s="47" t="inlineStr">
        <is>
          <t>Hà Nội</t>
        </is>
      </c>
      <c r="G104" s="49" t="inlineStr">
        <is>
          <t>HV KH Quân sự</t>
        </is>
      </c>
      <c r="H104" s="48">
        <f>COUNTA('HV KH Quân sự'!$B$11:$B$500)</f>
        <v/>
      </c>
      <c r="I104" s="49" t="inlineStr">
        <is>
          <t>https://hocvienkhoahocquan.su.edu.vn/ hoặc trang Bộ Quốc phòng</t>
        </is>
      </c>
      <c r="J104" s="47" t="inlineStr">
        <is>
          <t>Trang tuyển sinh quân sự chung</t>
        </is>
      </c>
      <c r="K104" s="63" t="n"/>
    </row>
    <row r="105" ht="15" customHeight="1" s="35">
      <c r="A105" s="48" t="n">
        <v>104</v>
      </c>
      <c r="B105" s="47" t="inlineStr">
        <is>
          <t>Học viện Biên phòng</t>
        </is>
      </c>
      <c r="C105" s="47" t="n"/>
      <c r="D105" s="47" t="inlineStr">
        <is>
          <t>Miền Bắc</t>
        </is>
      </c>
      <c r="E105" s="47" t="inlineStr">
        <is>
          <t>Hà Nội</t>
        </is>
      </c>
      <c r="F105" s="47" t="inlineStr">
        <is>
          <t>Hà Nội</t>
        </is>
      </c>
      <c r="G105" s="49" t="inlineStr">
        <is>
          <t>HV Biên phòng</t>
        </is>
      </c>
      <c r="H105" s="48">
        <f>COUNTA('HV Biên phòng'!$B$11:$B$500)</f>
        <v/>
      </c>
      <c r="I105" s="49" t="inlineStr">
        <is>
          <t>https://hocvienbienphong.edu.vn/</t>
        </is>
      </c>
      <c r="J105" s="47" t="inlineStr">
        <is>
          <t>Trang tuyển sinh quân sự</t>
        </is>
      </c>
      <c r="K105" s="63" t="n"/>
    </row>
    <row r="106" ht="15" customHeight="1" s="35">
      <c r="A106" s="48" t="n">
        <v>105</v>
      </c>
      <c r="B106" s="47" t="inlineStr">
        <is>
          <t>Học viện Hậu cần</t>
        </is>
      </c>
      <c r="C106" s="47" t="n"/>
      <c r="D106" s="47" t="inlineStr">
        <is>
          <t>Miền Bắc</t>
        </is>
      </c>
      <c r="E106" s="47" t="inlineStr">
        <is>
          <t>Hà Nội</t>
        </is>
      </c>
      <c r="F106" s="47" t="inlineStr">
        <is>
          <t>Hà Nội</t>
        </is>
      </c>
      <c r="G106" s="49" t="inlineStr">
        <is>
          <t>HV Hậu cần</t>
        </is>
      </c>
      <c r="H106" s="48">
        <f>COUNTA('HV Hậu cần'!$B$11:$B$500)</f>
        <v/>
      </c>
      <c r="I106" s="49" t="inlineStr">
        <is>
          <t>https://hocvienhaucan.edu.vn/</t>
        </is>
      </c>
      <c r="J106" s="47" t="inlineStr">
        <is>
          <t>Trang tuyển sinh quân sự</t>
        </is>
      </c>
      <c r="K106" s="63" t="n"/>
    </row>
    <row r="107" ht="15" customHeight="1" s="35">
      <c r="A107" s="48" t="n">
        <v>106</v>
      </c>
      <c r="B107" s="47" t="inlineStr">
        <is>
          <t>Học viện Phòng không - Không quân</t>
        </is>
      </c>
      <c r="C107" s="47" t="n"/>
      <c r="D107" s="47" t="inlineStr">
        <is>
          <t>Miền Bắc</t>
        </is>
      </c>
      <c r="E107" s="47" t="inlineStr">
        <is>
          <t>Hà Nội</t>
        </is>
      </c>
      <c r="F107" s="47" t="inlineStr">
        <is>
          <t>Hà Nội</t>
        </is>
      </c>
      <c r="G107" s="49" t="inlineStr">
        <is>
          <t>HV PK-KQ</t>
        </is>
      </c>
      <c r="H107" s="48">
        <f>COUNTA('HV PK-KQ'!$B$11:$B$500)</f>
        <v/>
      </c>
      <c r="I107" s="49" t="inlineStr">
        <is>
          <t>https://hocvienpkkq.edu.vn/</t>
        </is>
      </c>
      <c r="J107" s="47" t="inlineStr">
        <is>
          <t>Trang tuyển sinh quân sự</t>
        </is>
      </c>
      <c r="K107" s="63" t="n"/>
    </row>
    <row r="108" ht="15" customHeight="1" s="35">
      <c r="A108" s="48" t="n">
        <v>107</v>
      </c>
      <c r="B108" s="47" t="inlineStr">
        <is>
          <t>Học viện Hải quân</t>
        </is>
      </c>
      <c r="C108" s="47" t="n"/>
      <c r="D108" s="47" t="inlineStr">
        <is>
          <t>Miền Trung</t>
        </is>
      </c>
      <c r="E108" s="47" t="inlineStr">
        <is>
          <t>Khánh Hòa</t>
        </is>
      </c>
      <c r="F108" s="47" t="inlineStr">
        <is>
          <t>Khánh Hòa</t>
        </is>
      </c>
      <c r="G108" s="49" t="inlineStr">
        <is>
          <t>HV Hải quân</t>
        </is>
      </c>
      <c r="H108" s="48">
        <f>COUNTA('HV Hải quân'!$B$11:$B$500)</f>
        <v/>
      </c>
      <c r="I108" s="49" t="inlineStr">
        <is>
          <t>https://hocvienhaiquan.edu.vn/</t>
        </is>
      </c>
      <c r="J108" s="47" t="inlineStr">
        <is>
          <t>Trang tuyển sinh quân sự</t>
        </is>
      </c>
      <c r="K108" s="63" t="n"/>
    </row>
    <row r="109" ht="15" customHeight="1" s="35">
      <c r="A109" s="48" t="n">
        <v>108</v>
      </c>
      <c r="B109" s="47" t="inlineStr">
        <is>
          <t>Trường Đại học Chính trị (Trường Sĩ quan Chính trị)</t>
        </is>
      </c>
      <c r="C109" s="47" t="n"/>
      <c r="D109" s="47" t="inlineStr">
        <is>
          <t>Miền Bắc</t>
        </is>
      </c>
      <c r="E109" s="47" t="inlineStr">
        <is>
          <t>Bắc Ninh</t>
        </is>
      </c>
      <c r="F109" s="47" t="inlineStr">
        <is>
          <t>Bắc Ninh</t>
        </is>
      </c>
      <c r="G109" s="49" t="inlineStr">
        <is>
          <t>SQ Chính trị</t>
        </is>
      </c>
      <c r="H109" s="48">
        <f>COUNTA('SQ Chính trị'!$B$11:$B$500)</f>
        <v/>
      </c>
      <c r="I109" s="49" t="inlineStr">
        <is>
          <t>https://hocvienchinhtri.edu.vn/</t>
        </is>
      </c>
      <c r="J109" s="47" t="inlineStr">
        <is>
          <t>Trang tuyển sinh quân sự</t>
        </is>
      </c>
      <c r="K109" s="63" t="inlineStr">
        <is>
          <t>Địa điểm chưa đối chiếu nguồn - cần xác minh.</t>
        </is>
      </c>
    </row>
    <row r="110" ht="15" customHeight="1" s="35">
      <c r="A110" s="48" t="n">
        <v>109</v>
      </c>
      <c r="B110" s="47" t="inlineStr">
        <is>
          <t>Trường Sĩ quan Lục quân 1</t>
        </is>
      </c>
      <c r="C110" s="47" t="n"/>
      <c r="D110" s="47" t="inlineStr">
        <is>
          <t>Miền Bắc</t>
        </is>
      </c>
      <c r="E110" s="47" t="inlineStr">
        <is>
          <t>Hà Nội</t>
        </is>
      </c>
      <c r="F110" s="47" t="inlineStr">
        <is>
          <t>Hà Nội</t>
        </is>
      </c>
      <c r="G110" s="49" t="inlineStr">
        <is>
          <t>SQ Lục quân 1</t>
        </is>
      </c>
      <c r="H110" s="48">
        <f>COUNTA('SQ Lục quân 1'!$B$11:$B$500)</f>
        <v/>
      </c>
      <c r="I110" s="49" t="inlineStr">
        <is>
          <t>https://truongsq1.edu.vn/</t>
        </is>
      </c>
      <c r="J110" s="47" t="inlineStr">
        <is>
          <t>Trang tuyển sinh quân sự</t>
        </is>
      </c>
      <c r="K110" s="63" t="n"/>
    </row>
    <row r="111" ht="15" customHeight="1" s="35">
      <c r="A111" s="48" t="n">
        <v>110</v>
      </c>
      <c r="B111" s="47" t="inlineStr">
        <is>
          <t>Trường Sĩ quan Lục quân 2 (Đại học Nguyễn Huệ)</t>
        </is>
      </c>
      <c r="C111" s="47" t="n"/>
      <c r="D111" s="47" t="inlineStr">
        <is>
          <t>Miền Nam</t>
        </is>
      </c>
      <c r="E111" s="47" t="inlineStr">
        <is>
          <t>Đồng Nai</t>
        </is>
      </c>
      <c r="F111" s="47" t="inlineStr">
        <is>
          <t>Đồng Nai</t>
        </is>
      </c>
      <c r="G111" s="49" t="inlineStr">
        <is>
          <t>SQ Lục quân 2</t>
        </is>
      </c>
      <c r="H111" s="48">
        <f>COUNTA('SQ Lục quân 2'!$B$11:$B$500)</f>
        <v/>
      </c>
      <c r="I111" s="49" t="inlineStr">
        <is>
          <t>https://daihocnguyenHue.edu.vn/</t>
        </is>
      </c>
      <c r="J111" s="47" t="inlineStr">
        <is>
          <t>Trang tuyển sinh quân sự</t>
        </is>
      </c>
      <c r="K111" s="63" t="inlineStr">
        <is>
          <t>Địa điểm chưa đối chiếu nguồn - cần xác minh.</t>
        </is>
      </c>
    </row>
    <row r="112" ht="15" customHeight="1" s="35">
      <c r="A112" s="48" t="n">
        <v>111</v>
      </c>
      <c r="B112" s="47" t="inlineStr">
        <is>
          <t>Trường Sĩ quan Đặc công</t>
        </is>
      </c>
      <c r="C112" s="47" t="n"/>
      <c r="D112" s="47" t="inlineStr">
        <is>
          <t>Miền Bắc</t>
        </is>
      </c>
      <c r="E112" s="47" t="inlineStr">
        <is>
          <t>Hà Nội</t>
        </is>
      </c>
      <c r="F112" s="47" t="inlineStr">
        <is>
          <t>Hà Nội</t>
        </is>
      </c>
      <c r="G112" s="49" t="inlineStr">
        <is>
          <t>SQ Đặc công</t>
        </is>
      </c>
      <c r="H112" s="48">
        <f>COUNTA('SQ Đặc công'!$B$11:$B$500)</f>
        <v/>
      </c>
      <c r="I112" s="49" t="inlineStr">
        <is>
          <t>https://truongdaccong.edu.vn/</t>
        </is>
      </c>
      <c r="J112" s="47" t="inlineStr">
        <is>
          <t>Trang tuyển sinh quân sự</t>
        </is>
      </c>
      <c r="K112" s="63" t="n"/>
    </row>
    <row r="113" ht="15" customHeight="1" s="35">
      <c r="A113" s="48" t="n">
        <v>112</v>
      </c>
      <c r="B113" s="47" t="inlineStr">
        <is>
          <t>Trường Sĩ quan Phòng hóa</t>
        </is>
      </c>
      <c r="C113" s="47" t="n"/>
      <c r="D113" s="47" t="inlineStr">
        <is>
          <t>Miền Bắc</t>
        </is>
      </c>
      <c r="E113" s="47" t="inlineStr">
        <is>
          <t>Hà Nội</t>
        </is>
      </c>
      <c r="F113" s="47" t="inlineStr">
        <is>
          <t>Hà Nội</t>
        </is>
      </c>
      <c r="G113" s="49" t="inlineStr">
        <is>
          <t>SQ Phòng hóa</t>
        </is>
      </c>
      <c r="H113" s="48">
        <f>COUNTA('SQ Phòng hóa'!$B$11:$B$500)</f>
        <v/>
      </c>
      <c r="I113" s="49" t="inlineStr">
        <is>
          <t>https://truongphonghoa.edu.vn/</t>
        </is>
      </c>
      <c r="J113" s="47" t="inlineStr">
        <is>
          <t>Trang tuyển sinh quân sự</t>
        </is>
      </c>
      <c r="K113" s="63" t="n"/>
    </row>
    <row r="114" ht="15" customHeight="1" s="35">
      <c r="A114" s="48" t="n">
        <v>113</v>
      </c>
      <c r="B114" s="47" t="inlineStr">
        <is>
          <t>Trường Sĩ quan Pháo binh</t>
        </is>
      </c>
      <c r="C114" s="47" t="n"/>
      <c r="D114" s="47" t="inlineStr">
        <is>
          <t>Miền Bắc</t>
        </is>
      </c>
      <c r="E114" s="47" t="inlineStr">
        <is>
          <t>Hà Nội</t>
        </is>
      </c>
      <c r="F114" s="47" t="inlineStr">
        <is>
          <t>Hà Nội</t>
        </is>
      </c>
      <c r="G114" s="49" t="inlineStr">
        <is>
          <t>SQ Pháo binh</t>
        </is>
      </c>
      <c r="H114" s="48">
        <f>COUNTA('SQ Pháo binh'!$B$11:$B$500)</f>
        <v/>
      </c>
      <c r="I114" s="49" t="inlineStr">
        <is>
          <t>https://truongphaobinh.edu.vn/</t>
        </is>
      </c>
      <c r="J114" s="47" t="inlineStr">
        <is>
          <t>Trang tuyển sinh quân sự</t>
        </is>
      </c>
      <c r="K114" s="63" t="inlineStr">
        <is>
          <t>Địa điểm chưa đối chiếu nguồn - cần xác minh.</t>
        </is>
      </c>
    </row>
    <row r="115" ht="15" customHeight="1" s="35">
      <c r="A115" s="48" t="n">
        <v>114</v>
      </c>
      <c r="B115" s="47" t="inlineStr">
        <is>
          <t>Trường Sĩ quan Công binh</t>
        </is>
      </c>
      <c r="C115" s="47" t="n"/>
      <c r="D115" s="47" t="inlineStr">
        <is>
          <t>Miền Nam</t>
        </is>
      </c>
      <c r="E115" s="47" t="inlineStr">
        <is>
          <t>TP. Hồ Chí Minh</t>
        </is>
      </c>
      <c r="F115" s="47" t="inlineStr">
        <is>
          <t>Bình Dương</t>
        </is>
      </c>
      <c r="G115" s="49" t="inlineStr">
        <is>
          <t>SQ Công binh</t>
        </is>
      </c>
      <c r="H115" s="48">
        <f>COUNTA('SQ Công binh'!$B$11:$B$500)</f>
        <v/>
      </c>
      <c r="I115" s="49" t="inlineStr">
        <is>
          <t>https://truongcongbinh.edu.vn/</t>
        </is>
      </c>
      <c r="J115" s="47" t="inlineStr">
        <is>
          <t>Trang tuyển sinh quân sự</t>
        </is>
      </c>
      <c r="K115" s="63" t="inlineStr">
        <is>
          <t>Địa điểm chưa đối chiếu nguồn - cần xác minh.</t>
        </is>
      </c>
    </row>
    <row r="116" ht="15" customHeight="1" s="35">
      <c r="A116" s="48" t="n">
        <v>115</v>
      </c>
      <c r="B116" s="47" t="inlineStr">
        <is>
          <t>Trường Sĩ quan Tăng thiết giáp</t>
        </is>
      </c>
      <c r="C116" s="47" t="n"/>
      <c r="D116" s="47" t="inlineStr">
        <is>
          <t>Miền Bắc</t>
        </is>
      </c>
      <c r="E116" s="47" t="inlineStr">
        <is>
          <t>Phú Thọ</t>
        </is>
      </c>
      <c r="F116" s="47" t="inlineStr">
        <is>
          <t>Vĩnh Phúc</t>
        </is>
      </c>
      <c r="G116" s="49" t="inlineStr">
        <is>
          <t>SQ Tăng thiết giáp</t>
        </is>
      </c>
      <c r="H116" s="48">
        <f>COUNTA('SQ Tăng thiết giáp'!$B$11:$B$500)</f>
        <v/>
      </c>
      <c r="I116" s="49" t="inlineStr">
        <is>
          <t>https://truongttg.edu.vn/</t>
        </is>
      </c>
      <c r="J116" s="47" t="inlineStr">
        <is>
          <t>Trang tuyển sinh quân sự</t>
        </is>
      </c>
      <c r="K116" s="63" t="n"/>
    </row>
    <row r="117" ht="15" customHeight="1" s="35">
      <c r="A117" s="48" t="n">
        <v>116</v>
      </c>
      <c r="B117" s="47" t="inlineStr">
        <is>
          <t>Trường Sĩ quan Thông tin (Đại học Thông tin liên lạc)</t>
        </is>
      </c>
      <c r="C117" s="47" t="n"/>
      <c r="D117" s="47" t="inlineStr">
        <is>
          <t>Miền Trung</t>
        </is>
      </c>
      <c r="E117" s="47" t="inlineStr">
        <is>
          <t>Khánh Hòa</t>
        </is>
      </c>
      <c r="F117" s="47" t="inlineStr">
        <is>
          <t>Khánh Hòa</t>
        </is>
      </c>
      <c r="G117" s="49" t="inlineStr">
        <is>
          <t>SQ Thông tin</t>
        </is>
      </c>
      <c r="H117" s="48">
        <f>COUNTA('SQ Thông tin'!$B$11:$B$500)</f>
        <v/>
      </c>
      <c r="I117" s="49" t="inlineStr">
        <is>
          <t>https://truongthongtin.edu.vn/</t>
        </is>
      </c>
      <c r="J117" s="47" t="inlineStr">
        <is>
          <t>Trang tuyển sinh quân sự</t>
        </is>
      </c>
      <c r="K117" s="63" t="n"/>
    </row>
    <row r="118" ht="15" customHeight="1" s="35">
      <c r="A118" s="48" t="n">
        <v>117</v>
      </c>
      <c r="B118" s="47" t="inlineStr">
        <is>
          <t>Trường Sĩ quan Không quân</t>
        </is>
      </c>
      <c r="C118" s="47" t="n"/>
      <c r="D118" s="47" t="inlineStr">
        <is>
          <t>Miền Trung</t>
        </is>
      </c>
      <c r="E118" s="47" t="inlineStr">
        <is>
          <t>Khánh Hòa</t>
        </is>
      </c>
      <c r="F118" s="47" t="inlineStr">
        <is>
          <t>Khánh Hòa</t>
        </is>
      </c>
      <c r="G118" s="49" t="inlineStr">
        <is>
          <t>SQ Không quân</t>
        </is>
      </c>
      <c r="H118" s="48">
        <f>COUNTA('SQ Không quân'!$B$11:$B$500)</f>
        <v/>
      </c>
      <c r="I118" s="49" t="inlineStr">
        <is>
          <t>https://truongkhongquan.edu.vn/</t>
        </is>
      </c>
      <c r="J118" s="47" t="inlineStr">
        <is>
          <t>Trang tuyển sinh quân sự</t>
        </is>
      </c>
      <c r="K118" s="63" t="n"/>
    </row>
    <row r="119" ht="15" customHeight="1" s="35">
      <c r="A119" s="48" t="n">
        <v>118</v>
      </c>
      <c r="B119" s="47" t="inlineStr">
        <is>
          <t>Trường Sĩ quan Kỹ thuật Quân sự (Đại học Trần Đại Nghĩa)</t>
        </is>
      </c>
      <c r="C119" s="47" t="n"/>
      <c r="D119" s="47" t="inlineStr">
        <is>
          <t>Chưa xác định</t>
        </is>
      </c>
      <c r="E119" s="47" t="inlineStr">
        <is>
          <t>Chưa xác định</t>
        </is>
      </c>
      <c r="F119" s="47" t="inlineStr">
        <is>
          <t>Chưa xác định</t>
        </is>
      </c>
      <c r="G119" s="49" t="inlineStr">
        <is>
          <t>SQ KT Quân sự</t>
        </is>
      </c>
      <c r="H119" s="48">
        <f>COUNTA('SQ KT Quân sự'!$B$11:$B$500)</f>
        <v/>
      </c>
      <c r="I119" s="49" t="inlineStr">
        <is>
          <t>https://trandainghia.edu.vn/</t>
        </is>
      </c>
      <c r="J119" s="47" t="inlineStr">
        <is>
          <t>Trang tuyển sinh quân sự</t>
        </is>
      </c>
      <c r="K119" s="63" t="inlineStr">
        <is>
          <t>Chưa xác định được địa điểm từ nguồn tìm được - cần xác minh.</t>
        </is>
      </c>
    </row>
    <row r="120" ht="15" customHeight="1" s="35">
      <c r="A120" s="48" t="n">
        <v>119</v>
      </c>
      <c r="B120" s="47" t="inlineStr">
        <is>
          <t>Học viện An ninh nhân dân</t>
        </is>
      </c>
      <c r="C120" s="47" t="n"/>
      <c r="D120" s="47" t="inlineStr">
        <is>
          <t>Miền Bắc</t>
        </is>
      </c>
      <c r="E120" s="47" t="inlineStr">
        <is>
          <t>Hà Nội</t>
        </is>
      </c>
      <c r="F120" s="47" t="inlineStr">
        <is>
          <t>Hà Nội</t>
        </is>
      </c>
      <c r="G120" s="49" t="inlineStr">
        <is>
          <t>HV An ninh ND</t>
        </is>
      </c>
      <c r="H120" s="48">
        <f>COUNTA('HV An ninh ND'!$B$11:$B$500)</f>
        <v/>
      </c>
      <c r="I120" s="49" t="inlineStr">
        <is>
          <t>https://hvanninh.edu.vn/</t>
        </is>
      </c>
      <c r="J120" s="49" t="inlineStr">
        <is>
          <t>https://tuyensinh.hvanninh.edu.vn/</t>
        </is>
      </c>
      <c r="K120" s="63" t="n"/>
    </row>
    <row r="121" ht="15" customHeight="1" s="35">
      <c r="A121" s="48" t="n">
        <v>120</v>
      </c>
      <c r="B121" s="47" t="inlineStr">
        <is>
          <t>Học viện Cảnh sát nhân dân</t>
        </is>
      </c>
      <c r="C121" s="47" t="n"/>
      <c r="D121" s="47" t="inlineStr">
        <is>
          <t>Miền Bắc</t>
        </is>
      </c>
      <c r="E121" s="47" t="inlineStr">
        <is>
          <t>Hà Nội</t>
        </is>
      </c>
      <c r="F121" s="47" t="inlineStr">
        <is>
          <t>Hà Nội</t>
        </is>
      </c>
      <c r="G121" s="49" t="inlineStr">
        <is>
          <t>HV Cảnh sát ND</t>
        </is>
      </c>
      <c r="H121" s="48">
        <f>COUNTA('HV Cảnh sát ND'!$B$11:$B$500)</f>
        <v/>
      </c>
      <c r="I121" s="49" t="inlineStr">
        <is>
          <t>https://hvcsnd.edu.vn/</t>
        </is>
      </c>
      <c r="J121" s="49" t="inlineStr">
        <is>
          <t>https://tuyensinh.hvcsnd.edu.vn/</t>
        </is>
      </c>
      <c r="K121" s="63" t="n"/>
    </row>
    <row r="122" ht="15" customHeight="1" s="35">
      <c r="A122" s="48" t="n">
        <v>121</v>
      </c>
      <c r="B122" s="47" t="inlineStr">
        <is>
          <t>Học viện Chính trị Công an nhân dân</t>
        </is>
      </c>
      <c r="C122" s="47" t="n"/>
      <c r="D122" s="47" t="inlineStr">
        <is>
          <t>Miền Bắc</t>
        </is>
      </c>
      <c r="E122" s="47" t="inlineStr">
        <is>
          <t>Hà Nội</t>
        </is>
      </c>
      <c r="F122" s="47" t="inlineStr">
        <is>
          <t>Hà Nội</t>
        </is>
      </c>
      <c r="G122" s="49" t="inlineStr">
        <is>
          <t>HV Chính trị CAND</t>
        </is>
      </c>
      <c r="H122" s="48">
        <f>COUNTA('HV Chính trị CAND'!$B$11:$B$500)</f>
        <v/>
      </c>
      <c r="I122" s="49" t="inlineStr">
        <is>
          <t>https://hocvienchinhtricand.edu.vn/</t>
        </is>
      </c>
      <c r="J122" s="47" t="inlineStr">
        <is>
          <t>Trang tuyển sinh công an</t>
        </is>
      </c>
      <c r="K122" s="63" t="n"/>
    </row>
    <row r="123" ht="15" customHeight="1" s="35">
      <c r="A123" s="48" t="n">
        <v>122</v>
      </c>
      <c r="B123" s="47" t="inlineStr">
        <is>
          <t>Học viện Kỹ thuật và Công nghệ An ninh</t>
        </is>
      </c>
      <c r="C123" s="47" t="n"/>
      <c r="D123" s="47" t="inlineStr">
        <is>
          <t>Miền Bắc</t>
        </is>
      </c>
      <c r="E123" s="47" t="inlineStr">
        <is>
          <t>Hà Nội</t>
        </is>
      </c>
      <c r="F123" s="47" t="inlineStr">
        <is>
          <t>Hà Nội</t>
        </is>
      </c>
      <c r="G123" s="49" t="inlineStr">
        <is>
          <t>HV KT-CN An ninh</t>
        </is>
      </c>
      <c r="H123" s="48">
        <f>COUNTA('HV KT-CN An ninh'!$B$11:$B$500)</f>
        <v/>
      </c>
      <c r="I123" s="49" t="inlineStr">
        <is>
          <t>https://hocvienkythuatanninh.edu.vn/</t>
        </is>
      </c>
      <c r="J123" s="47" t="inlineStr">
        <is>
          <t>Trang tuyển sinh công an</t>
        </is>
      </c>
      <c r="K123" s="63" t="inlineStr">
        <is>
          <t>Địa điểm chưa đối chiếu nguồn - cần xác minh.</t>
        </is>
      </c>
    </row>
    <row r="124" ht="15" customHeight="1" s="35">
      <c r="A124" s="48" t="n">
        <v>123</v>
      </c>
      <c r="B124" s="47" t="inlineStr">
        <is>
          <t>Trường Đại học An ninh nhân dân</t>
        </is>
      </c>
      <c r="C124" s="47" t="n"/>
      <c r="D124" s="47" t="inlineStr">
        <is>
          <t>Miền Nam</t>
        </is>
      </c>
      <c r="E124" s="47" t="inlineStr">
        <is>
          <t>TP. Hồ Chí Minh</t>
        </is>
      </c>
      <c r="F124" s="47" t="inlineStr">
        <is>
          <t>TP. Hồ Chí Minh</t>
        </is>
      </c>
      <c r="G124" s="49" t="inlineStr">
        <is>
          <t>ĐH An ninh ND</t>
        </is>
      </c>
      <c r="H124" s="48">
        <f>COUNTA('ĐH An ninh ND'!$B$11:$B$500)</f>
        <v/>
      </c>
      <c r="I124" s="49" t="inlineStr">
        <is>
          <t>https://dhanninh.edu.vn/</t>
        </is>
      </c>
      <c r="J124" s="49" t="inlineStr">
        <is>
          <t>https://tuyensinh.dhanninh.edu.vn/</t>
        </is>
      </c>
      <c r="K124" s="63" t="n"/>
    </row>
    <row r="125" ht="15" customHeight="1" s="35">
      <c r="A125" s="48" t="n">
        <v>124</v>
      </c>
      <c r="B125" s="47" t="inlineStr">
        <is>
          <t>Trường Đại học Cảnh sát nhân dân</t>
        </is>
      </c>
      <c r="C125" s="47" t="n"/>
      <c r="D125" s="47" t="inlineStr">
        <is>
          <t>Miền Nam</t>
        </is>
      </c>
      <c r="E125" s="47" t="inlineStr">
        <is>
          <t>TP. Hồ Chí Minh</t>
        </is>
      </c>
      <c r="F125" s="47" t="inlineStr">
        <is>
          <t>TP. Hồ Chí Minh</t>
        </is>
      </c>
      <c r="G125" s="49" t="inlineStr">
        <is>
          <t>ĐH Cảnh sát ND</t>
        </is>
      </c>
      <c r="H125" s="48">
        <f>COUNTA('ĐH Cảnh sát ND'!$B$11:$B$500)</f>
        <v/>
      </c>
      <c r="I125" s="49" t="inlineStr">
        <is>
          <t>https://dhcsnd.edu.vn/</t>
        </is>
      </c>
      <c r="J125" s="49" t="inlineStr">
        <is>
          <t>https://tuyensinh.dhcsnd.edu.vn/</t>
        </is>
      </c>
      <c r="K125" s="63" t="n"/>
    </row>
    <row r="126" ht="15" customHeight="1" s="35">
      <c r="A126" s="48" t="n">
        <v>125</v>
      </c>
      <c r="B126" s="47" t="inlineStr">
        <is>
          <t>Trường Đại học Phòng cháy chữa cháy</t>
        </is>
      </c>
      <c r="C126" s="47" t="n"/>
      <c r="D126" s="47" t="inlineStr">
        <is>
          <t>Miền Bắc</t>
        </is>
      </c>
      <c r="E126" s="47" t="inlineStr">
        <is>
          <t>Hà Nội</t>
        </is>
      </c>
      <c r="F126" s="47" t="inlineStr">
        <is>
          <t>Hà Nội</t>
        </is>
      </c>
      <c r="G126" s="49" t="inlineStr">
        <is>
          <t>ĐH PCCC</t>
        </is>
      </c>
      <c r="H126" s="48">
        <f>COUNTA('ĐH PCCC'!$B$11:$B$500)</f>
        <v/>
      </c>
      <c r="I126" s="49" t="inlineStr">
        <is>
          <t>https://daihocpccc.edu.vn/</t>
        </is>
      </c>
      <c r="J126" s="49" t="inlineStr">
        <is>
          <t>https://tuyensinh.daihocpccc.edu.vn/</t>
        </is>
      </c>
      <c r="K126" s="63" t="n"/>
    </row>
    <row r="127" ht="15" customHeight="1" s="35">
      <c r="A127" s="48" t="n">
        <v>126</v>
      </c>
      <c r="B127" s="47" t="inlineStr">
        <is>
          <t>Học viện Quốc tế (AIS)</t>
        </is>
      </c>
      <c r="C127" s="47" t="inlineStr">
        <is>
          <t>AIS</t>
        </is>
      </c>
      <c r="D127" s="47" t="inlineStr">
        <is>
          <t>Chưa xác định</t>
        </is>
      </c>
      <c r="E127" s="47" t="inlineStr">
        <is>
          <t>Chưa xác định</t>
        </is>
      </c>
      <c r="F127" s="47" t="inlineStr">
        <is>
          <t>Chưa xác định</t>
        </is>
      </c>
      <c r="G127" s="49" t="inlineStr">
        <is>
          <t>HV Quốc tế (AIS)</t>
        </is>
      </c>
      <c r="H127" s="48">
        <f>COUNTA('HV Quốc tế (AIS)'!$B$11:$B$500)</f>
        <v/>
      </c>
      <c r="I127" s="49" t="inlineStr">
        <is>
          <t>https://ais.edu.vn/</t>
        </is>
      </c>
      <c r="J127" s="49" t="inlineStr">
        <is>
          <t>https://tuyensinh.ais.edu.vn/</t>
        </is>
      </c>
      <c r="K127" s="63" t="inlineStr">
        <is>
          <t>Chưa xác định được trường này: 'AIS' tìm thấy là trường phổ thông quốc tế Úc ở TP.HCM, không phải đại học - cần kiểm tra lại dữ liệu gốc.</t>
        </is>
      </c>
    </row>
  </sheetData>
  <autoFilter ref="A1:K127"/>
  <hyperlinks>
    <hyperlink xmlns:r="http://schemas.openxmlformats.org/officeDocument/2006/relationships" ref="G2" location="'HUST'!A1" display="HUST" r:id="rId1"/>
    <hyperlink xmlns:r="http://schemas.openxmlformats.org/officeDocument/2006/relationships" ref="I2" display="https://hust.edu.vn/" r:id="rId2"/>
    <hyperlink xmlns:r="http://schemas.openxmlformats.org/officeDocument/2006/relationships" ref="J2" display="https://ts.hust.edu.vn/" r:id="rId3"/>
    <hyperlink xmlns:r="http://schemas.openxmlformats.org/officeDocument/2006/relationships" ref="G3" location="'NEU'!A1" display="NEU" r:id="rId4"/>
    <hyperlink xmlns:r="http://schemas.openxmlformats.org/officeDocument/2006/relationships" ref="I3" display="https://neu.edu.vn/" r:id="rId5"/>
    <hyperlink xmlns:r="http://schemas.openxmlformats.org/officeDocument/2006/relationships" ref="J3" display="https://daotao.neu.edu.vn/ hoặc https://xtkh.neu.edu.vn" r:id="rId6"/>
    <hyperlink xmlns:r="http://schemas.openxmlformats.org/officeDocument/2006/relationships" ref="G4" location="'FTU'!A1" display="FTU" r:id="rId7"/>
    <hyperlink xmlns:r="http://schemas.openxmlformats.org/officeDocument/2006/relationships" ref="I4" display="https://ftu.edu.vn/" r:id="rId8"/>
    <hyperlink xmlns:r="http://schemas.openxmlformats.org/officeDocument/2006/relationships" ref="J4" display="https://tuyensinh.ftu.edu.vn/ hoặc https://thongtintuyensinh.ftu.edu.vn/" r:id="rId9"/>
    <hyperlink xmlns:r="http://schemas.openxmlformats.org/officeDocument/2006/relationships" ref="G5" location="'TMU'!A1" display="TMU" r:id="rId10"/>
    <hyperlink xmlns:r="http://schemas.openxmlformats.org/officeDocument/2006/relationships" ref="I5" display="https://tmu.edu.vn/" r:id="rId11"/>
    <hyperlink xmlns:r="http://schemas.openxmlformats.org/officeDocument/2006/relationships" ref="J5" display="https://tuyensinh.tmu.edu.vn/" r:id="rId12"/>
    <hyperlink xmlns:r="http://schemas.openxmlformats.org/officeDocument/2006/relationships" ref="G6" location="'HLU'!A1" display="HLU" r:id="rId13"/>
    <hyperlink xmlns:r="http://schemas.openxmlformats.org/officeDocument/2006/relationships" ref="I6" display="https://hlu.edu.vn/" r:id="rId14"/>
    <hyperlink xmlns:r="http://schemas.openxmlformats.org/officeDocument/2006/relationships" ref="J6" display="https://tuyensinh.hlu.edu.vn/" r:id="rId15"/>
    <hyperlink xmlns:r="http://schemas.openxmlformats.org/officeDocument/2006/relationships" ref="G7" location="'VNU-HUS'!A1" display="VNU-HUS" r:id="rId16"/>
    <hyperlink xmlns:r="http://schemas.openxmlformats.org/officeDocument/2006/relationships" ref="I7" display="https://hus.vnu.edu.vn/" r:id="rId17"/>
    <hyperlink xmlns:r="http://schemas.openxmlformats.org/officeDocument/2006/relationships" ref="J7" display="https://tuyensinh.hus.vnu.edu.vn/" r:id="rId18"/>
    <hyperlink xmlns:r="http://schemas.openxmlformats.org/officeDocument/2006/relationships" ref="G8" location="'VNU-UET'!A1" display="VNU-UET" r:id="rId19"/>
    <hyperlink xmlns:r="http://schemas.openxmlformats.org/officeDocument/2006/relationships" ref="I8" display="https://uet.vnu.edu.vn/" r:id="rId20"/>
    <hyperlink xmlns:r="http://schemas.openxmlformats.org/officeDocument/2006/relationships" ref="J8" display="https://tuyensinh.uet.vnu.edu.vn/" r:id="rId21"/>
    <hyperlink xmlns:r="http://schemas.openxmlformats.org/officeDocument/2006/relationships" ref="G9" location="'VNU-UEB'!A1" display="VNU-UEB" r:id="rId22"/>
    <hyperlink xmlns:r="http://schemas.openxmlformats.org/officeDocument/2006/relationships" ref="I9" display="https://ueb.vnu.edu.vn/" r:id="rId23"/>
    <hyperlink xmlns:r="http://schemas.openxmlformats.org/officeDocument/2006/relationships" ref="J9" display="https://tuyensinh.ueb.edu.vn/" r:id="rId24"/>
    <hyperlink xmlns:r="http://schemas.openxmlformats.org/officeDocument/2006/relationships" ref="G10" location="'VNU-USSH'!A1" display="VNU-USSH" r:id="rId25"/>
    <hyperlink xmlns:r="http://schemas.openxmlformats.org/officeDocument/2006/relationships" ref="I10" display="https://ussh.vnu.edu.vn/" r:id="rId26"/>
    <hyperlink xmlns:r="http://schemas.openxmlformats.org/officeDocument/2006/relationships" ref="J10" display="https://tuyensinh.ussh.edu.vn/" r:id="rId27"/>
    <hyperlink xmlns:r="http://schemas.openxmlformats.org/officeDocument/2006/relationships" ref="G11" location="'VNU-ULIS'!A1" display="VNU-ULIS" r:id="rId28"/>
    <hyperlink xmlns:r="http://schemas.openxmlformats.org/officeDocument/2006/relationships" ref="I11" display="https://ulis.vnu.edu.vn/" r:id="rId29"/>
    <hyperlink xmlns:r="http://schemas.openxmlformats.org/officeDocument/2006/relationships" ref="J11" display="https://tuyensinh.ulis.vnu.edu.vn/" r:id="rId30"/>
    <hyperlink xmlns:r="http://schemas.openxmlformats.org/officeDocument/2006/relationships" ref="G12" location="'VNU-UED'!A1" display="VNU-UED" r:id="rId31"/>
    <hyperlink xmlns:r="http://schemas.openxmlformats.org/officeDocument/2006/relationships" ref="I12" display="https://education.vnu.edu.vn/" r:id="rId32"/>
    <hyperlink xmlns:r="http://schemas.openxmlformats.org/officeDocument/2006/relationships" ref="J12" display="https://education.vnu.edu.vn/" r:id="rId33"/>
    <hyperlink xmlns:r="http://schemas.openxmlformats.org/officeDocument/2006/relationships" ref="G13" location="'HUCE'!A1" display="HUCE" r:id="rId34"/>
    <hyperlink xmlns:r="http://schemas.openxmlformats.org/officeDocument/2006/relationships" ref="I13" display="https://huce.edu.vn/" r:id="rId35"/>
    <hyperlink xmlns:r="http://schemas.openxmlformats.org/officeDocument/2006/relationships" ref="J13" display="https://tuyensinh.huce.edu.vn/" r:id="rId36"/>
    <hyperlink xmlns:r="http://schemas.openxmlformats.org/officeDocument/2006/relationships" ref="G14" location="'HAU'!A1" display="HAU" r:id="rId37"/>
    <hyperlink xmlns:r="http://schemas.openxmlformats.org/officeDocument/2006/relationships" ref="I14" display="https://hau.edu.vn/" r:id="rId38"/>
    <hyperlink xmlns:r="http://schemas.openxmlformats.org/officeDocument/2006/relationships" ref="J14" display="https://tuyensinh.hau.edu.vn/" r:id="rId39"/>
    <hyperlink xmlns:r="http://schemas.openxmlformats.org/officeDocument/2006/relationships" ref="G15" location="'TLU'!A1" display="TLU" r:id="rId40"/>
    <hyperlink xmlns:r="http://schemas.openxmlformats.org/officeDocument/2006/relationships" ref="I15" display="https://tlu.edu.vn/" r:id="rId41"/>
    <hyperlink xmlns:r="http://schemas.openxmlformats.org/officeDocument/2006/relationships" ref="J15" display="https://tuyensinh.tlu.edu.vn/" r:id="rId42"/>
    <hyperlink xmlns:r="http://schemas.openxmlformats.org/officeDocument/2006/relationships" ref="G16" location="'HUMG'!A1" display="HUMG" r:id="rId43"/>
    <hyperlink xmlns:r="http://schemas.openxmlformats.org/officeDocument/2006/relationships" ref="I16" display="https://humg.edu.vn/" r:id="rId44"/>
    <hyperlink xmlns:r="http://schemas.openxmlformats.org/officeDocument/2006/relationships" ref="J16" display="https://tuyensinh.humg.edu.vn/" r:id="rId45"/>
    <hyperlink xmlns:r="http://schemas.openxmlformats.org/officeDocument/2006/relationships" ref="G17" location="'EPU'!A1" display="EPU" r:id="rId46"/>
    <hyperlink xmlns:r="http://schemas.openxmlformats.org/officeDocument/2006/relationships" ref="I17" display="https://epu.edu.vn/" r:id="rId47"/>
    <hyperlink xmlns:r="http://schemas.openxmlformats.org/officeDocument/2006/relationships" ref="J17" display="https://tuyensinh.epu.edu.vn/" r:id="rId48"/>
    <hyperlink xmlns:r="http://schemas.openxmlformats.org/officeDocument/2006/relationships" ref="G18" location="'HaUI'!A1" display="HaUI" r:id="rId49"/>
    <hyperlink xmlns:r="http://schemas.openxmlformats.org/officeDocument/2006/relationships" ref="I18" display="https://haui.edu.vn/" r:id="rId50"/>
    <hyperlink xmlns:r="http://schemas.openxmlformats.org/officeDocument/2006/relationships" ref="J18" display="https://tuyensinh.haui.edu.vn/" r:id="rId51"/>
    <hyperlink xmlns:r="http://schemas.openxmlformats.org/officeDocument/2006/relationships" ref="G19" location="'PTIT'!A1" display="PTIT" r:id="rId52"/>
    <hyperlink xmlns:r="http://schemas.openxmlformats.org/officeDocument/2006/relationships" ref="I19" display="https://ptit.edu.vn/" r:id="rId53"/>
    <hyperlink xmlns:r="http://schemas.openxmlformats.org/officeDocument/2006/relationships" ref="J19" display="https://tuyensinh.ptit.edu.vn/" r:id="rId54"/>
    <hyperlink xmlns:r="http://schemas.openxmlformats.org/officeDocument/2006/relationships" ref="G20" location="'KMA'!A1" display="KMA" r:id="rId55"/>
    <hyperlink xmlns:r="http://schemas.openxmlformats.org/officeDocument/2006/relationships" ref="I20" display="https://actvn.edu.vn/" r:id="rId56"/>
    <hyperlink xmlns:r="http://schemas.openxmlformats.org/officeDocument/2006/relationships" ref="J20" display="https://tuyensinh.actvn.edu.vn/" r:id="rId57"/>
    <hyperlink xmlns:r="http://schemas.openxmlformats.org/officeDocument/2006/relationships" ref="G21" location="'HV%20Tài%20chính%20(AOF)'!A1" display="HV Tài chính (AOF)" r:id="rId58"/>
    <hyperlink xmlns:r="http://schemas.openxmlformats.org/officeDocument/2006/relationships" ref="I21" display="https://hvtc.edu.vn/" r:id="rId59"/>
    <hyperlink xmlns:r="http://schemas.openxmlformats.org/officeDocument/2006/relationships" ref="J21" display="https://tuyensinh.hvtc.edu.vn/" r:id="rId60"/>
    <hyperlink xmlns:r="http://schemas.openxmlformats.org/officeDocument/2006/relationships" ref="G22" location="'HV%20Ngân%20hàng%20(BA)'!A1" display="HV Ngân hàng (BA)" r:id="rId61"/>
    <hyperlink xmlns:r="http://schemas.openxmlformats.org/officeDocument/2006/relationships" ref="I22" display="https://hvnh.edu.vn/" r:id="rId62"/>
    <hyperlink xmlns:r="http://schemas.openxmlformats.org/officeDocument/2006/relationships" ref="J22" display="https://tuyensinh.hvnh.edu.vn/" r:id="rId63"/>
    <hyperlink xmlns:r="http://schemas.openxmlformats.org/officeDocument/2006/relationships" ref="G23" location="'HV%20Ngoại%20giao%20(DAV)'!A1" display="HV Ngoại giao (DAV)" r:id="rId64"/>
    <hyperlink xmlns:r="http://schemas.openxmlformats.org/officeDocument/2006/relationships" ref="I23" display="https://dav.edu.vn/" r:id="rId65"/>
    <hyperlink xmlns:r="http://schemas.openxmlformats.org/officeDocument/2006/relationships" ref="J23" display="https://tuyensinh.dav.edu.vn/" r:id="rId66"/>
    <hyperlink xmlns:r="http://schemas.openxmlformats.org/officeDocument/2006/relationships" ref="G24" location="'HMU'!A1" display="HMU" r:id="rId67"/>
    <hyperlink xmlns:r="http://schemas.openxmlformats.org/officeDocument/2006/relationships" ref="I24" display="https://hmu.edu.vn/" r:id="rId68"/>
    <hyperlink xmlns:r="http://schemas.openxmlformats.org/officeDocument/2006/relationships" ref="J24" display="https://hmu.edu.vn/ (mục Tuyển sinh)" r:id="rId69"/>
    <hyperlink xmlns:r="http://schemas.openxmlformats.org/officeDocument/2006/relationships" ref="G25" location="'HUP'!A1" display="HUP" r:id="rId70"/>
    <hyperlink xmlns:r="http://schemas.openxmlformats.org/officeDocument/2006/relationships" ref="I25" display="https://hup.edu.vn/" r:id="rId71"/>
    <hyperlink xmlns:r="http://schemas.openxmlformats.org/officeDocument/2006/relationships" ref="J25" display="https://tuyensinh.hup.edu.vn/" r:id="rId72"/>
    <hyperlink xmlns:r="http://schemas.openxmlformats.org/officeDocument/2006/relationships" ref="G26" location="'HUPH'!A1" display="HUPH" r:id="rId73"/>
    <hyperlink xmlns:r="http://schemas.openxmlformats.org/officeDocument/2006/relationships" ref="I26" display="https://huph.edu.vn/" r:id="rId74"/>
    <hyperlink xmlns:r="http://schemas.openxmlformats.org/officeDocument/2006/relationships" ref="J26" display="https://tuyensinh.huph.edu.vn/" r:id="rId75"/>
    <hyperlink xmlns:r="http://schemas.openxmlformats.org/officeDocument/2006/relationships" ref="G27" location="'HUC'!A1" display="HUC" r:id="rId76"/>
    <hyperlink xmlns:r="http://schemas.openxmlformats.org/officeDocument/2006/relationships" ref="I27" display="https://huc.edu.vn/" r:id="rId77"/>
    <hyperlink xmlns:r="http://schemas.openxmlformats.org/officeDocument/2006/relationships" ref="J27" display="https://tuyensinh.huc.edu.vn/" r:id="rId78"/>
    <hyperlink xmlns:r="http://schemas.openxmlformats.org/officeDocument/2006/relationships" ref="G28" location="'HOU'!A1" display="HOU" r:id="rId79"/>
    <hyperlink xmlns:r="http://schemas.openxmlformats.org/officeDocument/2006/relationships" ref="I28" display="https://hou.edu.vn/" r:id="rId80"/>
    <hyperlink xmlns:r="http://schemas.openxmlformats.org/officeDocument/2006/relationships" ref="J28" display="https://tuyensinh.hou.edu.vn/" r:id="rId81"/>
    <hyperlink xmlns:r="http://schemas.openxmlformats.org/officeDocument/2006/relationships" ref="G29" location="'ULSA'!A1" display="ULSA" r:id="rId82"/>
    <hyperlink xmlns:r="http://schemas.openxmlformats.org/officeDocument/2006/relationships" ref="I29" display="https://ulsa.edu.vn/" r:id="rId83"/>
    <hyperlink xmlns:r="http://schemas.openxmlformats.org/officeDocument/2006/relationships" ref="J29" display="https://tuyensinh.ulsa.edu.vn/" r:id="rId84"/>
    <hyperlink xmlns:r="http://schemas.openxmlformats.org/officeDocument/2006/relationships" ref="G30" location="'UTC'!A1" display="UTC" r:id="rId85"/>
    <hyperlink xmlns:r="http://schemas.openxmlformats.org/officeDocument/2006/relationships" ref="I30" display="https://utc.edu.vn/" r:id="rId86"/>
    <hyperlink xmlns:r="http://schemas.openxmlformats.org/officeDocument/2006/relationships" ref="J30" display="https://tuyensinh.utc.edu.vn/" r:id="rId87"/>
    <hyperlink xmlns:r="http://schemas.openxmlformats.org/officeDocument/2006/relationships" ref="G31" location="'USTH'!A1" display="USTH" r:id="rId88"/>
    <hyperlink xmlns:r="http://schemas.openxmlformats.org/officeDocument/2006/relationships" ref="I31" display="https://usth.edu.vn/" r:id="rId89"/>
    <hyperlink xmlns:r="http://schemas.openxmlformats.org/officeDocument/2006/relationships" ref="J31" display="https://tuyensinh.usth.edu.vn/" r:id="rId90"/>
    <hyperlink xmlns:r="http://schemas.openxmlformats.org/officeDocument/2006/relationships" ref="G32" location="'Phenikaa'!A1" display="Phenikaa" r:id="rId91"/>
    <hyperlink xmlns:r="http://schemas.openxmlformats.org/officeDocument/2006/relationships" ref="I32" display="https://phenikaa-uni.edu.vn/" r:id="rId92"/>
    <hyperlink xmlns:r="http://schemas.openxmlformats.org/officeDocument/2006/relationships" ref="J32" display="https://tuyensinh.phenikaa-uni.edu.vn/" r:id="rId93"/>
    <hyperlink xmlns:r="http://schemas.openxmlformats.org/officeDocument/2006/relationships" ref="G33" location="'Thăng%20Long'!A1" display="Thăng Long" r:id="rId94"/>
    <hyperlink xmlns:r="http://schemas.openxmlformats.org/officeDocument/2006/relationships" ref="I33" display="https://thanglong.edu.vn/" r:id="rId95"/>
    <hyperlink xmlns:r="http://schemas.openxmlformats.org/officeDocument/2006/relationships" ref="J33" display="https://tuyensinh.thanglong.edu.vn/" r:id="rId96"/>
    <hyperlink xmlns:r="http://schemas.openxmlformats.org/officeDocument/2006/relationships" ref="G34" location="'CMC'!A1" display="CMC" r:id="rId97"/>
    <hyperlink xmlns:r="http://schemas.openxmlformats.org/officeDocument/2006/relationships" ref="I34" display="https://cmc-u.edu.vn/" r:id="rId98"/>
    <hyperlink xmlns:r="http://schemas.openxmlformats.org/officeDocument/2006/relationships" ref="J34" display="https://tuyensinh.cmc-u.edu.vn/" r:id="rId99"/>
    <hyperlink xmlns:r="http://schemas.openxmlformats.org/officeDocument/2006/relationships" ref="G35" location="'Đại%20Nam'!A1" display="Đại Nam" r:id="rId100"/>
    <hyperlink xmlns:r="http://schemas.openxmlformats.org/officeDocument/2006/relationships" ref="I35" display="https://dainam.edu.vn/" r:id="rId101"/>
    <hyperlink xmlns:r="http://schemas.openxmlformats.org/officeDocument/2006/relationships" ref="J35" display="https://tuyensinh.dainam.edu.vn/" r:id="rId102"/>
    <hyperlink xmlns:r="http://schemas.openxmlformats.org/officeDocument/2006/relationships" ref="G36" location="'HUBT'!A1" display="HUBT" r:id="rId103"/>
    <hyperlink xmlns:r="http://schemas.openxmlformats.org/officeDocument/2006/relationships" ref="I36" display="https://hubt.edu.vn/" r:id="rId104"/>
    <hyperlink xmlns:r="http://schemas.openxmlformats.org/officeDocument/2006/relationships" ref="J36" display="https://tuyensinh.hubt.edu.vn/" r:id="rId105"/>
    <hyperlink xmlns:r="http://schemas.openxmlformats.org/officeDocument/2006/relationships" ref="G37" location="'Việt%20-%20Hung%20(VIU)'!A1" display="Việt - Hung (VIU)" r:id="rId106"/>
    <hyperlink xmlns:r="http://schemas.openxmlformats.org/officeDocument/2006/relationships" ref="I37" display="https://viu.edu.vn/" r:id="rId107"/>
    <hyperlink xmlns:r="http://schemas.openxmlformats.org/officeDocument/2006/relationships" ref="J37" display="https://tuyensinh.viu.edu.vn/" r:id="rId108"/>
    <hyperlink xmlns:r="http://schemas.openxmlformats.org/officeDocument/2006/relationships" ref="G38" location="'TUEBA'!A1" display="TUEBA" r:id="rId109"/>
    <hyperlink xmlns:r="http://schemas.openxmlformats.org/officeDocument/2006/relationships" ref="I38" display="https://tueba.edu.vn/" r:id="rId110"/>
    <hyperlink xmlns:r="http://schemas.openxmlformats.org/officeDocument/2006/relationships" ref="J38" display="https://tuyensinh.tueba.edu.vn/" r:id="rId111"/>
    <hyperlink xmlns:r="http://schemas.openxmlformats.org/officeDocument/2006/relationships" ref="G39" location="'ICTU'!A1" display="ICTU" r:id="rId112"/>
    <hyperlink xmlns:r="http://schemas.openxmlformats.org/officeDocument/2006/relationships" ref="I39" display="https://ictu.edu.vn/" r:id="rId113"/>
    <hyperlink xmlns:r="http://schemas.openxmlformats.org/officeDocument/2006/relationships" ref="J39" display="https://tuyensinh.ictu.edu.vn/" r:id="rId114"/>
    <hyperlink xmlns:r="http://schemas.openxmlformats.org/officeDocument/2006/relationships" ref="G40" location="'TNUT'!A1" display="TNUT" r:id="rId115"/>
    <hyperlink xmlns:r="http://schemas.openxmlformats.org/officeDocument/2006/relationships" ref="I40" display="https://tnut.edu.vn/" r:id="rId116"/>
    <hyperlink xmlns:r="http://schemas.openxmlformats.org/officeDocument/2006/relationships" ref="J40" display="https://tuyensinh.tnut.edu.vn/" r:id="rId117"/>
    <hyperlink xmlns:r="http://schemas.openxmlformats.org/officeDocument/2006/relationships" ref="G41" location="'TUAF'!A1" display="TUAF" r:id="rId118"/>
    <hyperlink xmlns:r="http://schemas.openxmlformats.org/officeDocument/2006/relationships" ref="I41" display="https://tuaf.edu.vn/" r:id="rId119"/>
    <hyperlink xmlns:r="http://schemas.openxmlformats.org/officeDocument/2006/relationships" ref="J41" display="https://tuyensinh.tuaf.edu.vn/" r:id="rId120"/>
    <hyperlink xmlns:r="http://schemas.openxmlformats.org/officeDocument/2006/relationships" ref="G42" location="'TUMP'!A1" display="TUMP" r:id="rId121"/>
    <hyperlink xmlns:r="http://schemas.openxmlformats.org/officeDocument/2006/relationships" ref="I42" display="https://tump.edu.vn/" r:id="rId122"/>
    <hyperlink xmlns:r="http://schemas.openxmlformats.org/officeDocument/2006/relationships" ref="J42" display="https://tuyensinh.tump.edu.vn/" r:id="rId123"/>
    <hyperlink xmlns:r="http://schemas.openxmlformats.org/officeDocument/2006/relationships" ref="G43" location="'TNUE'!A1" display="TNUE" r:id="rId124"/>
    <hyperlink xmlns:r="http://schemas.openxmlformats.org/officeDocument/2006/relationships" ref="I43" display="https://tnue.edu.vn/" r:id="rId125"/>
    <hyperlink xmlns:r="http://schemas.openxmlformats.org/officeDocument/2006/relationships" ref="J43" display="https://tuyensinh.tnue.edu.vn/" r:id="rId126"/>
    <hyperlink xmlns:r="http://schemas.openxmlformats.org/officeDocument/2006/relationships" ref="G44" location="'ĐH%20Hải%20Phòng'!A1" display="ĐH Hải Phòng" r:id="rId127"/>
    <hyperlink xmlns:r="http://schemas.openxmlformats.org/officeDocument/2006/relationships" ref="I44" display="https://dhhp.edu.vn/" r:id="rId128"/>
    <hyperlink xmlns:r="http://schemas.openxmlformats.org/officeDocument/2006/relationships" ref="J44" display="https://tuyensinh.dhhp.edu.vn/" r:id="rId129"/>
    <hyperlink xmlns:r="http://schemas.openxmlformats.org/officeDocument/2006/relationships" ref="G45" location="'VMU'!A1" display="VMU" r:id="rId130"/>
    <hyperlink xmlns:r="http://schemas.openxmlformats.org/officeDocument/2006/relationships" ref="I45" display="https://vimaru.edu.vn/" r:id="rId131"/>
    <hyperlink xmlns:r="http://schemas.openxmlformats.org/officeDocument/2006/relationships" ref="J45" display="https://tuyensinh.vimaru.edu.vn/" r:id="rId132"/>
    <hyperlink xmlns:r="http://schemas.openxmlformats.org/officeDocument/2006/relationships" ref="G46" location="'KT%20Y%20tế%20Hải%20Dương'!A1" display="KT Y tế Hải Dương" r:id="rId133"/>
    <hyperlink xmlns:r="http://schemas.openxmlformats.org/officeDocument/2006/relationships" ref="I46" display="https://hmt.edu.vn/" r:id="rId134"/>
    <hyperlink xmlns:r="http://schemas.openxmlformats.org/officeDocument/2006/relationships" ref="J46" display="https://tuyensinh.hmt.edu.vn/" r:id="rId135"/>
    <hyperlink xmlns:r="http://schemas.openxmlformats.org/officeDocument/2006/relationships" ref="G47" location="'UTEHY'!A1" display="UTEHY" r:id="rId136"/>
    <hyperlink xmlns:r="http://schemas.openxmlformats.org/officeDocument/2006/relationships" ref="I47" display="https://utehy.edu.vn/" r:id="rId137"/>
    <hyperlink xmlns:r="http://schemas.openxmlformats.org/officeDocument/2006/relationships" ref="J47" display="https://tuyensinh.utehy.edu.vn/" r:id="rId138"/>
    <hyperlink xmlns:r="http://schemas.openxmlformats.org/officeDocument/2006/relationships" ref="G48" location="'ĐH%20Vinh'!A1" display="ĐH Vinh" r:id="rId139"/>
    <hyperlink xmlns:r="http://schemas.openxmlformats.org/officeDocument/2006/relationships" ref="I48" display="https://vinhuni.edu.vn/" r:id="rId140"/>
    <hyperlink xmlns:r="http://schemas.openxmlformats.org/officeDocument/2006/relationships" ref="J48" display="https://tuyensinh.vinhuni.edu.vn/" r:id="rId141"/>
    <hyperlink xmlns:r="http://schemas.openxmlformats.org/officeDocument/2006/relationships" ref="G49" location="'DUT'!A1" display="DUT" r:id="rId142"/>
    <hyperlink xmlns:r="http://schemas.openxmlformats.org/officeDocument/2006/relationships" ref="I49" display="https://dut.udn.vn/" r:id="rId143"/>
    <hyperlink xmlns:r="http://schemas.openxmlformats.org/officeDocument/2006/relationships" ref="J49" display="https://tuyensinh.dut.udn.vn/" r:id="rId144"/>
    <hyperlink xmlns:r="http://schemas.openxmlformats.org/officeDocument/2006/relationships" ref="G50" location="'DUE'!A1" display="DUE" r:id="rId145"/>
    <hyperlink xmlns:r="http://schemas.openxmlformats.org/officeDocument/2006/relationships" ref="I50" display="https://due.udn.vn/" r:id="rId146"/>
    <hyperlink xmlns:r="http://schemas.openxmlformats.org/officeDocument/2006/relationships" ref="J50" display="https://tuyensinh.due.udn.vn/" r:id="rId147"/>
    <hyperlink xmlns:r="http://schemas.openxmlformats.org/officeDocument/2006/relationships" ref="G51" location="'ĐHSP%20Đà%20Nẵng'!A1" display="ĐHSP Đà Nẵng" r:id="rId148"/>
    <hyperlink xmlns:r="http://schemas.openxmlformats.org/officeDocument/2006/relationships" ref="I51" display="https://ued.udn.vn/" r:id="rId149"/>
    <hyperlink xmlns:r="http://schemas.openxmlformats.org/officeDocument/2006/relationships" ref="J51" display="https://tuyensinh.ued.udn.vn/" r:id="rId150"/>
    <hyperlink xmlns:r="http://schemas.openxmlformats.org/officeDocument/2006/relationships" ref="G52" location="'Y%20Dược%20ĐH%20Đà%20Nẵng'!A1" display="Y Dược ĐH Đà Nẵng" r:id="rId151"/>
    <hyperlink xmlns:r="http://schemas.openxmlformats.org/officeDocument/2006/relationships" ref="I52" display="https://ump.udn.vn/" r:id="rId152"/>
    <hyperlink xmlns:r="http://schemas.openxmlformats.org/officeDocument/2006/relationships" ref="J52" display="https://tuyensinh.ump.udn.vn/" r:id="rId153"/>
    <hyperlink xmlns:r="http://schemas.openxmlformats.org/officeDocument/2006/relationships" ref="G53" location="'UFL%20ĐH%20Đà%20Nẵng'!A1" display="UFL ĐH Đà Nẵng" r:id="rId154"/>
    <hyperlink xmlns:r="http://schemas.openxmlformats.org/officeDocument/2006/relationships" ref="I53" display="https://ufl.udn.vn/" r:id="rId155"/>
    <hyperlink xmlns:r="http://schemas.openxmlformats.org/officeDocument/2006/relationships" ref="J53" display="https://tuyensinh.ufl.udn.vn/" r:id="rId156"/>
    <hyperlink xmlns:r="http://schemas.openxmlformats.org/officeDocument/2006/relationships" ref="G54" location="'DTU'!A1" display="DTU" r:id="rId157"/>
    <hyperlink xmlns:r="http://schemas.openxmlformats.org/officeDocument/2006/relationships" ref="I54" display="https://duytan.edu.vn/" r:id="rId158"/>
    <hyperlink xmlns:r="http://schemas.openxmlformats.org/officeDocument/2006/relationships" ref="J54" display="https://tuyensinh.duytan.edu.vn/" r:id="rId159"/>
    <hyperlink xmlns:r="http://schemas.openxmlformats.org/officeDocument/2006/relationships" ref="G55" location="'ĐH%20Đông%20Á'!A1" display="ĐH Đông Á" r:id="rId160"/>
    <hyperlink xmlns:r="http://schemas.openxmlformats.org/officeDocument/2006/relationships" ref="I55" display="https://donga.edu.vn/" r:id="rId161"/>
    <hyperlink xmlns:r="http://schemas.openxmlformats.org/officeDocument/2006/relationships" ref="J55" display="https://tuyensinh.donga.edu.vn/" r:id="rId162"/>
    <hyperlink xmlns:r="http://schemas.openxmlformats.org/officeDocument/2006/relationships" ref="G56" location="'HUSC'!A1" display="HUSC" r:id="rId163"/>
    <hyperlink xmlns:r="http://schemas.openxmlformats.org/officeDocument/2006/relationships" ref="I56" display="https://husc.edu.vn/" r:id="rId164"/>
    <hyperlink xmlns:r="http://schemas.openxmlformats.org/officeDocument/2006/relationships" ref="J56" display="https://tuyensinh.husc.edu.vn/" r:id="rId165"/>
    <hyperlink xmlns:r="http://schemas.openxmlformats.org/officeDocument/2006/relationships" ref="G57" location="'HCE'!A1" display="HCE" r:id="rId166"/>
    <hyperlink xmlns:r="http://schemas.openxmlformats.org/officeDocument/2006/relationships" ref="I57" display="https://hce.edu.vn/" r:id="rId167"/>
    <hyperlink xmlns:r="http://schemas.openxmlformats.org/officeDocument/2006/relationships" ref="J57" display="https://tuyensinh.hce.edu.vn/" r:id="rId168"/>
    <hyperlink xmlns:r="http://schemas.openxmlformats.org/officeDocument/2006/relationships" ref="G58" location="'HUL'!A1" display="HUL" r:id="rId169"/>
    <hyperlink xmlns:r="http://schemas.openxmlformats.org/officeDocument/2006/relationships" ref="I58" display="https://hul.edu.vn/" r:id="rId170"/>
    <hyperlink xmlns:r="http://schemas.openxmlformats.org/officeDocument/2006/relationships" ref="J58" display="https://tuyensinh.hul.edu.vn/" r:id="rId171"/>
    <hyperlink xmlns:r="http://schemas.openxmlformats.org/officeDocument/2006/relationships" ref="G59" location="'ĐHSP%20Huế'!A1" display="ĐHSP Huế" r:id="rId172"/>
    <hyperlink xmlns:r="http://schemas.openxmlformats.org/officeDocument/2006/relationships" ref="I59" display="https://dhsphue.edu.vn/" r:id="rId173"/>
    <hyperlink xmlns:r="http://schemas.openxmlformats.org/officeDocument/2006/relationships" ref="J59" display="https://tuyensinh.dhsphue.edu.vn/" r:id="rId174"/>
    <hyperlink xmlns:r="http://schemas.openxmlformats.org/officeDocument/2006/relationships" ref="G60" location="'Y%20Dược%20Huế'!A1" display="Y Dược Huế" r:id="rId175"/>
    <hyperlink xmlns:r="http://schemas.openxmlformats.org/officeDocument/2006/relationships" ref="I60" display="https://huemed-univ.edu.vn/" r:id="rId176"/>
    <hyperlink xmlns:r="http://schemas.openxmlformats.org/officeDocument/2006/relationships" ref="J60" display="https://tuyensinh.huemed-univ.edu.vn/" r:id="rId177"/>
    <hyperlink xmlns:r="http://schemas.openxmlformats.org/officeDocument/2006/relationships" ref="G61" location="'Nghệ%20thuật%20Huế'!A1" display="Nghệ thuật Huế" r:id="rId178"/>
    <hyperlink xmlns:r="http://schemas.openxmlformats.org/officeDocument/2006/relationships" ref="I61" display="https://hufa.edu.vn/" r:id="rId179"/>
    <hyperlink xmlns:r="http://schemas.openxmlformats.org/officeDocument/2006/relationships" ref="J61" display="https://tuyensinh.hufa.edu.vn/" r:id="rId180"/>
    <hyperlink xmlns:r="http://schemas.openxmlformats.org/officeDocument/2006/relationships" ref="G62" location="'Du%20lịch%20Huế'!A1" display="Du lịch Huế" r:id="rId181"/>
    <hyperlink xmlns:r="http://schemas.openxmlformats.org/officeDocument/2006/relationships" ref="I62" display="https://huht.edu.vn/" r:id="rId182"/>
    <hyperlink xmlns:r="http://schemas.openxmlformats.org/officeDocument/2006/relationships" ref="J62" display="https://tuyensinh.huht.edu.vn/" r:id="rId183"/>
    <hyperlink xmlns:r="http://schemas.openxmlformats.org/officeDocument/2006/relationships" ref="G63" location="'Nông%20Lâm%20Huế'!A1" display="Nông Lâm Huế" r:id="rId184"/>
    <hyperlink xmlns:r="http://schemas.openxmlformats.org/officeDocument/2006/relationships" ref="I63" display="https://huaf.edu.vn/" r:id="rId185"/>
    <hyperlink xmlns:r="http://schemas.openxmlformats.org/officeDocument/2006/relationships" ref="J63" display="https://tuyensinh.huaf.edu.vn/" r:id="rId186"/>
    <hyperlink xmlns:r="http://schemas.openxmlformats.org/officeDocument/2006/relationships" ref="G64" location="'NTU'!A1" display="NTU" r:id="rId187"/>
    <hyperlink xmlns:r="http://schemas.openxmlformats.org/officeDocument/2006/relationships" ref="I64" display="https://ntu.edu.vn/" r:id="rId188"/>
    <hyperlink xmlns:r="http://schemas.openxmlformats.org/officeDocument/2006/relationships" ref="J64" display="https://tuyensinh.ntu.edu.vn/" r:id="rId189"/>
    <hyperlink xmlns:r="http://schemas.openxmlformats.org/officeDocument/2006/relationships" ref="G65" location="'QNU'!A1" display="QNU" r:id="rId190"/>
    <hyperlink xmlns:r="http://schemas.openxmlformats.org/officeDocument/2006/relationships" ref="I65" display="https://qnu.edu.vn/" r:id="rId191"/>
    <hyperlink xmlns:r="http://schemas.openxmlformats.org/officeDocument/2006/relationships" ref="J65" display="https://tuyensinh.qnu.edu.vn/" r:id="rId192"/>
    <hyperlink xmlns:r="http://schemas.openxmlformats.org/officeDocument/2006/relationships" ref="G66" location="'DLU'!A1" display="DLU" r:id="rId193"/>
    <hyperlink xmlns:r="http://schemas.openxmlformats.org/officeDocument/2006/relationships" ref="I66" display="https://dlu.edu.vn/" r:id="rId194"/>
    <hyperlink xmlns:r="http://schemas.openxmlformats.org/officeDocument/2006/relationships" ref="J66" display="https://tuyensinh.dlu.edu.vn/" r:id="rId195"/>
    <hyperlink xmlns:r="http://schemas.openxmlformats.org/officeDocument/2006/relationships" ref="G67" location="'ĐH%20Tây%20Nguyên'!A1" display="ĐH Tây Nguyên" r:id="rId196"/>
    <hyperlink xmlns:r="http://schemas.openxmlformats.org/officeDocument/2006/relationships" ref="I67" display="https://ttn.edu.vn/" r:id="rId197"/>
    <hyperlink xmlns:r="http://schemas.openxmlformats.org/officeDocument/2006/relationships" ref="J67" display="https://tuyensinh.ttn.edu.vn/" r:id="rId198"/>
    <hyperlink xmlns:r="http://schemas.openxmlformats.org/officeDocument/2006/relationships" ref="G68" location="'ĐH%20Hồng%20Đức'!A1" display="ĐH Hồng Đức" r:id="rId199"/>
    <hyperlink xmlns:r="http://schemas.openxmlformats.org/officeDocument/2006/relationships" ref="I68" display="https://hdu.edu.vn/" r:id="rId200"/>
    <hyperlink xmlns:r="http://schemas.openxmlformats.org/officeDocument/2006/relationships" ref="J68" display="https://tuyensinh.hdu.edu.vn/" r:id="rId201"/>
    <hyperlink xmlns:r="http://schemas.openxmlformats.org/officeDocument/2006/relationships" ref="G69" location="'HCMUT'!A1" display="HCMUT" r:id="rId202"/>
    <hyperlink xmlns:r="http://schemas.openxmlformats.org/officeDocument/2006/relationships" ref="I69" display="https://hcmut.edu.vn/" r:id="rId203"/>
    <hyperlink xmlns:r="http://schemas.openxmlformats.org/officeDocument/2006/relationships" ref="J69" display="https://tuyensinh.hcmut.edu.vn/ hoặc https://mybk.hcmut.edu.vn/tuyensinh/" r:id="rId204"/>
    <hyperlink xmlns:r="http://schemas.openxmlformats.org/officeDocument/2006/relationships" ref="G70" location="'HCMUS'!A1" display="HCMUS" r:id="rId205"/>
    <hyperlink xmlns:r="http://schemas.openxmlformats.org/officeDocument/2006/relationships" ref="I70" display="https://hcmus.edu.vn/" r:id="rId206"/>
    <hyperlink xmlns:r="http://schemas.openxmlformats.org/officeDocument/2006/relationships" ref="J70" display="https://tuyensinh.hcmus.edu.vn/" r:id="rId207"/>
    <hyperlink xmlns:r="http://schemas.openxmlformats.org/officeDocument/2006/relationships" ref="G71" location="'UIT'!A1" display="UIT" r:id="rId208"/>
    <hyperlink xmlns:r="http://schemas.openxmlformats.org/officeDocument/2006/relationships" ref="I71" display="https://uit.edu.vn/" r:id="rId209"/>
    <hyperlink xmlns:r="http://schemas.openxmlformats.org/officeDocument/2006/relationships" ref="J71" display="https://tuyensinh.uit.edu.vn/" r:id="rId210"/>
    <hyperlink xmlns:r="http://schemas.openxmlformats.org/officeDocument/2006/relationships" ref="G72" location="'UEL'!A1" display="UEL" r:id="rId211"/>
    <hyperlink xmlns:r="http://schemas.openxmlformats.org/officeDocument/2006/relationships" ref="I72" display="https://uel.edu.vn/" r:id="rId212"/>
    <hyperlink xmlns:r="http://schemas.openxmlformats.org/officeDocument/2006/relationships" ref="J72" display="https://tuyensinh.uel.edu.vn/" r:id="rId213"/>
    <hyperlink xmlns:r="http://schemas.openxmlformats.org/officeDocument/2006/relationships" ref="G73" location="'IU%20(HCMIU)'!A1" display="IU (HCMIU)" r:id="rId214"/>
    <hyperlink xmlns:r="http://schemas.openxmlformats.org/officeDocument/2006/relationships" ref="I73" display="https://hcmiu.edu.vn/" r:id="rId215"/>
    <hyperlink xmlns:r="http://schemas.openxmlformats.org/officeDocument/2006/relationships" ref="J73" display="https://tuyensinh.hcmiu.edu.vn/" r:id="rId216"/>
    <hyperlink xmlns:r="http://schemas.openxmlformats.org/officeDocument/2006/relationships" ref="G74" location="'USSH%20TP.HCM'!A1" display="USSH TP.HCM" r:id="rId217"/>
    <hyperlink xmlns:r="http://schemas.openxmlformats.org/officeDocument/2006/relationships" ref="I74" display="https://hcmussh.edu.vn/" r:id="rId218"/>
    <hyperlink xmlns:r="http://schemas.openxmlformats.org/officeDocument/2006/relationships" ref="J74" display="https://tuyensinh.hcmussh.edu.vn/" r:id="rId219"/>
    <hyperlink xmlns:r="http://schemas.openxmlformats.org/officeDocument/2006/relationships" ref="G75" location="'UEH'!A1" display="UEH" r:id="rId220"/>
    <hyperlink xmlns:r="http://schemas.openxmlformats.org/officeDocument/2006/relationships" ref="I75" display="https://ueh.edu.vn/" r:id="rId221"/>
    <hyperlink xmlns:r="http://schemas.openxmlformats.org/officeDocument/2006/relationships" ref="J75" display="https://tuyensinh.ueh.edu.vn/" r:id="rId222"/>
    <hyperlink xmlns:r="http://schemas.openxmlformats.org/officeDocument/2006/relationships" ref="G76" location="'TDTU'!A1" display="TDTU" r:id="rId223"/>
    <hyperlink xmlns:r="http://schemas.openxmlformats.org/officeDocument/2006/relationships" ref="I76" display="https://tdtu.edu.vn/" r:id="rId224"/>
    <hyperlink xmlns:r="http://schemas.openxmlformats.org/officeDocument/2006/relationships" ref="J76" display="https://tuyensinh.tdtu.edu.vn/" r:id="rId225"/>
    <hyperlink xmlns:r="http://schemas.openxmlformats.org/officeDocument/2006/relationships" ref="G77" location="'HCMUE'!A1" display="HCMUE" r:id="rId226"/>
    <hyperlink xmlns:r="http://schemas.openxmlformats.org/officeDocument/2006/relationships" ref="I77" display="https://hcmue.edu.vn/" r:id="rId227"/>
    <hyperlink xmlns:r="http://schemas.openxmlformats.org/officeDocument/2006/relationships" ref="J77" display="https://tuyensinh.hcmue.edu.vn/" r:id="rId228"/>
    <hyperlink xmlns:r="http://schemas.openxmlformats.org/officeDocument/2006/relationships" ref="G78" location="'HCMUTE'!A1" display="HCMUTE" r:id="rId229"/>
    <hyperlink xmlns:r="http://schemas.openxmlformats.org/officeDocument/2006/relationships" ref="I78" display="https://hcmute.edu.vn/" r:id="rId230"/>
    <hyperlink xmlns:r="http://schemas.openxmlformats.org/officeDocument/2006/relationships" ref="J78" display="https://tuyensinh.hcmute.edu.vn/" r:id="rId231"/>
    <hyperlink xmlns:r="http://schemas.openxmlformats.org/officeDocument/2006/relationships" ref="G79" location="'IUH'!A1" display="IUH" r:id="rId232"/>
    <hyperlink xmlns:r="http://schemas.openxmlformats.org/officeDocument/2006/relationships" ref="I79" display="https://iuh.edu.vn/" r:id="rId233"/>
    <hyperlink xmlns:r="http://schemas.openxmlformats.org/officeDocument/2006/relationships" ref="J79" display="https://tuyensinh.iuh.edu.vn/" r:id="rId234"/>
    <hyperlink xmlns:r="http://schemas.openxmlformats.org/officeDocument/2006/relationships" ref="G80" location="'HUIT'!A1" display="HUIT" r:id="rId235"/>
    <hyperlink xmlns:r="http://schemas.openxmlformats.org/officeDocument/2006/relationships" ref="I80" display="https://huit.edu.vn/" r:id="rId236"/>
    <hyperlink xmlns:r="http://schemas.openxmlformats.org/officeDocument/2006/relationships" ref="J80" display="https://tuyensinh.huit.edu.vn/" r:id="rId237"/>
    <hyperlink xmlns:r="http://schemas.openxmlformats.org/officeDocument/2006/relationships" ref="G81" location="'UTH'!A1" display="UTH" r:id="rId238"/>
    <hyperlink xmlns:r="http://schemas.openxmlformats.org/officeDocument/2006/relationships" ref="I81" display="https://ut.edu.vn/" r:id="rId239"/>
    <hyperlink xmlns:r="http://schemas.openxmlformats.org/officeDocument/2006/relationships" ref="J81" display="https://tuyensinh.ut.edu.vn/" r:id="rId240"/>
    <hyperlink xmlns:r="http://schemas.openxmlformats.org/officeDocument/2006/relationships" ref="G82" location="'OU'!A1" display="OU" r:id="rId241"/>
    <hyperlink xmlns:r="http://schemas.openxmlformats.org/officeDocument/2006/relationships" ref="I82" display="https://ou.edu.vn/" r:id="rId242"/>
    <hyperlink xmlns:r="http://schemas.openxmlformats.org/officeDocument/2006/relationships" ref="J82" display="https://tuyensinh.ou.edu.vn/" r:id="rId243"/>
    <hyperlink xmlns:r="http://schemas.openxmlformats.org/officeDocument/2006/relationships" ref="G83" location="'UFM'!A1" display="UFM" r:id="rId244"/>
    <hyperlink xmlns:r="http://schemas.openxmlformats.org/officeDocument/2006/relationships" ref="I83" display="https://ufm.edu.vn/" r:id="rId245"/>
    <hyperlink xmlns:r="http://schemas.openxmlformats.org/officeDocument/2006/relationships" ref="J83" display="https://tuyensinh.ufm.edu.vn/" r:id="rId246"/>
    <hyperlink xmlns:r="http://schemas.openxmlformats.org/officeDocument/2006/relationships" ref="G84" location="'HUB'!A1" display="HUB" r:id="rId247"/>
    <hyperlink xmlns:r="http://schemas.openxmlformats.org/officeDocument/2006/relationships" ref="I84" display="https://hub.edu.vn/" r:id="rId248"/>
    <hyperlink xmlns:r="http://schemas.openxmlformats.org/officeDocument/2006/relationships" ref="J84" display="https://tuyensinh.hub.edu.vn/" r:id="rId249"/>
    <hyperlink xmlns:r="http://schemas.openxmlformats.org/officeDocument/2006/relationships" ref="G85" location="'ULAW'!A1" display="ULAW" r:id="rId250"/>
    <hyperlink xmlns:r="http://schemas.openxmlformats.org/officeDocument/2006/relationships" ref="I85" display="https://hcmulaw.edu.vn/" r:id="rId251"/>
    <hyperlink xmlns:r="http://schemas.openxmlformats.org/officeDocument/2006/relationships" ref="J85" display="https://tuyensinh.hcmulaw.edu.vn/" r:id="rId252"/>
    <hyperlink xmlns:r="http://schemas.openxmlformats.org/officeDocument/2006/relationships" ref="G86" location="'UAH'!A1" display="UAH" r:id="rId253"/>
    <hyperlink xmlns:r="http://schemas.openxmlformats.org/officeDocument/2006/relationships" ref="I86" display="https://uah.edu.vn/" r:id="rId254"/>
    <hyperlink xmlns:r="http://schemas.openxmlformats.org/officeDocument/2006/relationships" ref="J86" display="https://tuyensinh.uah.edu.vn/" r:id="rId255"/>
    <hyperlink xmlns:r="http://schemas.openxmlformats.org/officeDocument/2006/relationships" ref="G87" location="'Mỹ%20thuật%20TP.HCM'!A1" display="Mỹ thuật TP.HCM" r:id="rId256"/>
    <hyperlink xmlns:r="http://schemas.openxmlformats.org/officeDocument/2006/relationships" ref="I87" display="https://hufa.edu.vn/" r:id="rId257"/>
    <hyperlink xmlns:r="http://schemas.openxmlformats.org/officeDocument/2006/relationships" ref="J87" display="https://tuyensinh.hufa.edu.vn/" r:id="rId258"/>
    <hyperlink xmlns:r="http://schemas.openxmlformats.org/officeDocument/2006/relationships" ref="G88" location="'Văn%20hóa%20TP.HCM'!A1" display="Văn hóa TP.HCM" r:id="rId259"/>
    <hyperlink xmlns:r="http://schemas.openxmlformats.org/officeDocument/2006/relationships" ref="I88" display="https://hcmuc.edu.vn/" r:id="rId260"/>
    <hyperlink xmlns:r="http://schemas.openxmlformats.org/officeDocument/2006/relationships" ref="J88" display="https://tuyensinh.hcmuc.edu.vn/" r:id="rId261"/>
    <hyperlink xmlns:r="http://schemas.openxmlformats.org/officeDocument/2006/relationships" ref="G89" location="'UMP'!A1" display="UMP" r:id="rId262"/>
    <hyperlink xmlns:r="http://schemas.openxmlformats.org/officeDocument/2006/relationships" ref="I89" display="https://ump.edu.vn/" r:id="rId263"/>
    <hyperlink xmlns:r="http://schemas.openxmlformats.org/officeDocument/2006/relationships" ref="J89" display="https://tuyensinh.ump.edu.vn/" r:id="rId264"/>
    <hyperlink xmlns:r="http://schemas.openxmlformats.org/officeDocument/2006/relationships" ref="G90" location="'PNT'!A1" display="PNT" r:id="rId265"/>
    <hyperlink xmlns:r="http://schemas.openxmlformats.org/officeDocument/2006/relationships" ref="I90" display="https://pnt.edu.vn/" r:id="rId266"/>
    <hyperlink xmlns:r="http://schemas.openxmlformats.org/officeDocument/2006/relationships" ref="J90" display="https://tuyensinh.pnt.edu.vn/" r:id="rId267"/>
    <hyperlink xmlns:r="http://schemas.openxmlformats.org/officeDocument/2006/relationships" ref="G91" location="'NLU'!A1" display="NLU" r:id="rId268"/>
    <hyperlink xmlns:r="http://schemas.openxmlformats.org/officeDocument/2006/relationships" ref="I91" display="https://hcmuaf.edu.vn/" r:id="rId269"/>
    <hyperlink xmlns:r="http://schemas.openxmlformats.org/officeDocument/2006/relationships" ref="J91" display="https://tuyensinh.hcmuaf.edu.vn/" r:id="rId270"/>
    <hyperlink xmlns:r="http://schemas.openxmlformats.org/officeDocument/2006/relationships" ref="G92" location="'HCMUNRE'!A1" display="HCMUNRE" r:id="rId271"/>
    <hyperlink xmlns:r="http://schemas.openxmlformats.org/officeDocument/2006/relationships" ref="I92" display="https://hcmunre.edu.vn/" r:id="rId272"/>
    <hyperlink xmlns:r="http://schemas.openxmlformats.org/officeDocument/2006/relationships" ref="J92" display="https://tuyensinh.hcmunre.edu.vn/" r:id="rId273"/>
    <hyperlink xmlns:r="http://schemas.openxmlformats.org/officeDocument/2006/relationships" ref="G93" location="'HUTECH'!A1" display="HUTECH" r:id="rId274"/>
    <hyperlink xmlns:r="http://schemas.openxmlformats.org/officeDocument/2006/relationships" ref="I93" display="https://hutech.edu.vn/" r:id="rId275"/>
    <hyperlink xmlns:r="http://schemas.openxmlformats.org/officeDocument/2006/relationships" ref="J93" display="https://tuyensinh.hutech.edu.vn/" r:id="rId276"/>
    <hyperlink xmlns:r="http://schemas.openxmlformats.org/officeDocument/2006/relationships" ref="G94" location="'UEF'!A1" display="UEF" r:id="rId277"/>
    <hyperlink xmlns:r="http://schemas.openxmlformats.org/officeDocument/2006/relationships" ref="I94" display="https://uef.edu.vn/" r:id="rId278"/>
    <hyperlink xmlns:r="http://schemas.openxmlformats.org/officeDocument/2006/relationships" ref="J94" display="https://tuyensinh.uef.edu.vn/" r:id="rId279"/>
    <hyperlink xmlns:r="http://schemas.openxmlformats.org/officeDocument/2006/relationships" ref="G95" location="'Hoa%20Sen'!A1" display="Hoa Sen" r:id="rId280"/>
    <hyperlink xmlns:r="http://schemas.openxmlformats.org/officeDocument/2006/relationships" ref="I95" display="https://hoasen.edu.vn/" r:id="rId281"/>
    <hyperlink xmlns:r="http://schemas.openxmlformats.org/officeDocument/2006/relationships" ref="J95" display="https://tuyensinh.hoasen.edu.vn/" r:id="rId282"/>
    <hyperlink xmlns:r="http://schemas.openxmlformats.org/officeDocument/2006/relationships" ref="G96" location="'NTT'!A1" display="NTT" r:id="rId283"/>
    <hyperlink xmlns:r="http://schemas.openxmlformats.org/officeDocument/2006/relationships" ref="I96" display="https://ntt.edu.vn/" r:id="rId284"/>
    <hyperlink xmlns:r="http://schemas.openxmlformats.org/officeDocument/2006/relationships" ref="J96" display="https://tuyensinh.ntt.edu.vn/" r:id="rId285"/>
    <hyperlink xmlns:r="http://schemas.openxmlformats.org/officeDocument/2006/relationships" ref="G97" location="'Văn%20Lang'!A1" display="Văn Lang" r:id="rId286"/>
    <hyperlink xmlns:r="http://schemas.openxmlformats.org/officeDocument/2006/relationships" ref="I97" display="https://vanlanguni.edu.vn/" r:id="rId287"/>
    <hyperlink xmlns:r="http://schemas.openxmlformats.org/officeDocument/2006/relationships" ref="J97" display="https://tuyensinh.vanlanguni.edu.vn/" r:id="rId288"/>
    <hyperlink xmlns:r="http://schemas.openxmlformats.org/officeDocument/2006/relationships" ref="G98" location="'Lạc%20Hồng'!A1" display="Lạc Hồng" r:id="rId289"/>
    <hyperlink xmlns:r="http://schemas.openxmlformats.org/officeDocument/2006/relationships" ref="I98" display="https://lhu.edu.vn/" r:id="rId290"/>
    <hyperlink xmlns:r="http://schemas.openxmlformats.org/officeDocument/2006/relationships" ref="J98" display="https://tuyensinh.lhu.edu.vn/" r:id="rId291"/>
    <hyperlink xmlns:r="http://schemas.openxmlformats.org/officeDocument/2006/relationships" ref="G99" location="'VGU'!A1" display="VGU" r:id="rId292"/>
    <hyperlink xmlns:r="http://schemas.openxmlformats.org/officeDocument/2006/relationships" ref="I99" display="https://vgu.edu.vn/" r:id="rId293"/>
    <hyperlink xmlns:r="http://schemas.openxmlformats.org/officeDocument/2006/relationships" ref="J99" display="https://tuyensinh.vgu.edu.vn/" r:id="rId294"/>
    <hyperlink xmlns:r="http://schemas.openxmlformats.org/officeDocument/2006/relationships" ref="G100" location="'Thủ%20Dầu%20Một'!A1" display="Thủ Dầu Một" r:id="rId295"/>
    <hyperlink xmlns:r="http://schemas.openxmlformats.org/officeDocument/2006/relationships" ref="I100" display="https://tdmu.edu.vn/" r:id="rId296"/>
    <hyperlink xmlns:r="http://schemas.openxmlformats.org/officeDocument/2006/relationships" ref="J100" display="https://tuyensinh.tdmu.edu.vn/" r:id="rId297"/>
    <hyperlink xmlns:r="http://schemas.openxmlformats.org/officeDocument/2006/relationships" ref="G101" location="'CTU'!A1" display="CTU" r:id="rId298"/>
    <hyperlink xmlns:r="http://schemas.openxmlformats.org/officeDocument/2006/relationships" ref="I101" display="https://ctu.edu.vn/" r:id="rId299"/>
    <hyperlink xmlns:r="http://schemas.openxmlformats.org/officeDocument/2006/relationships" ref="J101" display="https://tuyensinh.ctu.edu.vn/" r:id="rId300"/>
    <hyperlink xmlns:r="http://schemas.openxmlformats.org/officeDocument/2006/relationships" ref="G102" location="'MTA'!A1" display="MTA" r:id="rId301"/>
    <hyperlink xmlns:r="http://schemas.openxmlformats.org/officeDocument/2006/relationships" ref="I102" display="https://mta.edu.vn/" r:id="rId302"/>
    <hyperlink xmlns:r="http://schemas.openxmlformats.org/officeDocument/2006/relationships" ref="J102" display="https://mta.edu.vn/ (mục Tuyển sinh)" r:id="rId303"/>
    <hyperlink xmlns:r="http://schemas.openxmlformats.org/officeDocument/2006/relationships" ref="G103" location="'HV%20Quân%20y'!A1" display="HV Quân y" r:id="rId304"/>
    <hyperlink xmlns:r="http://schemas.openxmlformats.org/officeDocument/2006/relationships" ref="I103" display="https://hvqy.edu.vn/" r:id="rId305"/>
    <hyperlink xmlns:r="http://schemas.openxmlformats.org/officeDocument/2006/relationships" ref="J103" display="https://tuyensinh.hvqy.edu.vn/" r:id="rId306"/>
    <hyperlink xmlns:r="http://schemas.openxmlformats.org/officeDocument/2006/relationships" ref="G104" location="'HV%20KH%20Quân%20sự'!A1" display="HV KH Quân sự" r:id="rId307"/>
    <hyperlink xmlns:r="http://schemas.openxmlformats.org/officeDocument/2006/relationships" ref="I104" display="https://hocvienkhoahocquan.su.edu.vn/ hoặc trang Bộ Quốc phòng" r:id="rId308"/>
    <hyperlink xmlns:r="http://schemas.openxmlformats.org/officeDocument/2006/relationships" ref="G105" location="'HV%20Biên%20phòng'!A1" display="HV Biên phòng" r:id="rId309"/>
    <hyperlink xmlns:r="http://schemas.openxmlformats.org/officeDocument/2006/relationships" ref="I105" display="https://hocvienbienphong.edu.vn/" r:id="rId310"/>
    <hyperlink xmlns:r="http://schemas.openxmlformats.org/officeDocument/2006/relationships" ref="G106" location="'HV%20Hậu%20cần'!A1" display="HV Hậu cần" r:id="rId311"/>
    <hyperlink xmlns:r="http://schemas.openxmlformats.org/officeDocument/2006/relationships" ref="I106" display="https://hocvienhaucan.edu.vn/" r:id="rId312"/>
    <hyperlink xmlns:r="http://schemas.openxmlformats.org/officeDocument/2006/relationships" ref="G107" location="'HV%20PK-KQ'!A1" display="HV PK-KQ" r:id="rId313"/>
    <hyperlink xmlns:r="http://schemas.openxmlformats.org/officeDocument/2006/relationships" ref="I107" display="https://hocvienpkkq.edu.vn/" r:id="rId314"/>
    <hyperlink xmlns:r="http://schemas.openxmlformats.org/officeDocument/2006/relationships" ref="G108" location="'HV%20Hải%20quân'!A1" display="HV Hải quân" r:id="rId315"/>
    <hyperlink xmlns:r="http://schemas.openxmlformats.org/officeDocument/2006/relationships" ref="I108" display="https://hocvienhaiquan.edu.vn/" r:id="rId316"/>
    <hyperlink xmlns:r="http://schemas.openxmlformats.org/officeDocument/2006/relationships" ref="G109" location="'SQ%20Chính%20trị'!A1" display="SQ Chính trị" r:id="rId317"/>
    <hyperlink xmlns:r="http://schemas.openxmlformats.org/officeDocument/2006/relationships" ref="I109" display="https://hocvienchinhtri.edu.vn/" r:id="rId318"/>
    <hyperlink xmlns:r="http://schemas.openxmlformats.org/officeDocument/2006/relationships" ref="G110" location="'SQ%20Lục%20quân%201'!A1" display="SQ Lục quân 1" r:id="rId319"/>
    <hyperlink xmlns:r="http://schemas.openxmlformats.org/officeDocument/2006/relationships" ref="I110" display="https://truongsq1.edu.vn/" r:id="rId320"/>
    <hyperlink xmlns:r="http://schemas.openxmlformats.org/officeDocument/2006/relationships" ref="G111" location="'SQ%20Lục%20quân%202'!A1" display="SQ Lục quân 2" r:id="rId321"/>
    <hyperlink xmlns:r="http://schemas.openxmlformats.org/officeDocument/2006/relationships" ref="I111" display="https://daihocnguyenHue.edu.vn/" r:id="rId322"/>
    <hyperlink xmlns:r="http://schemas.openxmlformats.org/officeDocument/2006/relationships" ref="G112" location="'SQ%20Đặc%20công'!A1" display="SQ Đặc công" r:id="rId323"/>
    <hyperlink xmlns:r="http://schemas.openxmlformats.org/officeDocument/2006/relationships" ref="I112" display="https://truongdaccong.edu.vn/" r:id="rId324"/>
    <hyperlink xmlns:r="http://schemas.openxmlformats.org/officeDocument/2006/relationships" ref="G113" location="'SQ%20Phòng%20hóa'!A1" display="SQ Phòng hóa" r:id="rId325"/>
    <hyperlink xmlns:r="http://schemas.openxmlformats.org/officeDocument/2006/relationships" ref="I113" display="https://truongphonghoa.edu.vn/" r:id="rId326"/>
    <hyperlink xmlns:r="http://schemas.openxmlformats.org/officeDocument/2006/relationships" ref="G114" location="'SQ%20Pháo%20binh'!A1" display="SQ Pháo binh" r:id="rId327"/>
    <hyperlink xmlns:r="http://schemas.openxmlformats.org/officeDocument/2006/relationships" ref="I114" display="https://truongphaobinh.edu.vn/" r:id="rId328"/>
    <hyperlink xmlns:r="http://schemas.openxmlformats.org/officeDocument/2006/relationships" ref="G115" location="'SQ%20Công%20binh'!A1" display="SQ Công binh" r:id="rId329"/>
    <hyperlink xmlns:r="http://schemas.openxmlformats.org/officeDocument/2006/relationships" ref="I115" display="https://truongcongbinh.edu.vn/" r:id="rId330"/>
    <hyperlink xmlns:r="http://schemas.openxmlformats.org/officeDocument/2006/relationships" ref="G116" location="'SQ%20Tăng%20thiết%20giáp'!A1" display="SQ Tăng thiết giáp" r:id="rId331"/>
    <hyperlink xmlns:r="http://schemas.openxmlformats.org/officeDocument/2006/relationships" ref="I116" display="https://truongttg.edu.vn/" r:id="rId332"/>
    <hyperlink xmlns:r="http://schemas.openxmlformats.org/officeDocument/2006/relationships" ref="G117" location="'SQ%20Thông%20tin'!A1" display="SQ Thông tin" r:id="rId333"/>
    <hyperlink xmlns:r="http://schemas.openxmlformats.org/officeDocument/2006/relationships" ref="I117" display="https://truongthongtin.edu.vn/" r:id="rId334"/>
    <hyperlink xmlns:r="http://schemas.openxmlformats.org/officeDocument/2006/relationships" ref="G118" location="'SQ%20Không%20quân'!A1" display="SQ Không quân" r:id="rId335"/>
    <hyperlink xmlns:r="http://schemas.openxmlformats.org/officeDocument/2006/relationships" ref="I118" display="https://truongkhongquan.edu.vn/" r:id="rId336"/>
    <hyperlink xmlns:r="http://schemas.openxmlformats.org/officeDocument/2006/relationships" ref="G119" location="'SQ%20KT%20Quân%20sự'!A1" display="SQ KT Quân sự" r:id="rId337"/>
    <hyperlink xmlns:r="http://schemas.openxmlformats.org/officeDocument/2006/relationships" ref="I119" display="https://trandainghia.edu.vn/" r:id="rId338"/>
    <hyperlink xmlns:r="http://schemas.openxmlformats.org/officeDocument/2006/relationships" ref="G120" location="'HV%20An%20ninh%20ND'!A1" display="HV An ninh ND" r:id="rId339"/>
    <hyperlink xmlns:r="http://schemas.openxmlformats.org/officeDocument/2006/relationships" ref="I120" display="https://hvanninh.edu.vn/" r:id="rId340"/>
    <hyperlink xmlns:r="http://schemas.openxmlformats.org/officeDocument/2006/relationships" ref="J120" display="https://tuyensinh.hvanninh.edu.vn/" r:id="rId341"/>
    <hyperlink xmlns:r="http://schemas.openxmlformats.org/officeDocument/2006/relationships" ref="G121" location="'HV%20Cảnh%20sát%20ND'!A1" display="HV Cảnh sát ND" r:id="rId342"/>
    <hyperlink xmlns:r="http://schemas.openxmlformats.org/officeDocument/2006/relationships" ref="I121" display="https://hvcsnd.edu.vn/" r:id="rId343"/>
    <hyperlink xmlns:r="http://schemas.openxmlformats.org/officeDocument/2006/relationships" ref="J121" display="https://tuyensinh.hvcsnd.edu.vn/" r:id="rId344"/>
    <hyperlink xmlns:r="http://schemas.openxmlformats.org/officeDocument/2006/relationships" ref="G122" location="'HV%20Chính%20trị%20CAND'!A1" display="HV Chính trị CAND" r:id="rId345"/>
    <hyperlink xmlns:r="http://schemas.openxmlformats.org/officeDocument/2006/relationships" ref="I122" display="https://hocvienchinhtricand.edu.vn/" r:id="rId346"/>
    <hyperlink xmlns:r="http://schemas.openxmlformats.org/officeDocument/2006/relationships" ref="G123" location="'HV%20KT-CN%20An%20ninh'!A1" display="HV KT-CN An ninh" r:id="rId347"/>
    <hyperlink xmlns:r="http://schemas.openxmlformats.org/officeDocument/2006/relationships" ref="I123" display="https://hocvienkythuatanninh.edu.vn/" r:id="rId348"/>
    <hyperlink xmlns:r="http://schemas.openxmlformats.org/officeDocument/2006/relationships" ref="G124" location="'ĐH%20An%20ninh%20ND'!A1" display="ĐH An ninh ND" r:id="rId349"/>
    <hyperlink xmlns:r="http://schemas.openxmlformats.org/officeDocument/2006/relationships" ref="I124" display="https://dhanninh.edu.vn/" r:id="rId350"/>
    <hyperlink xmlns:r="http://schemas.openxmlformats.org/officeDocument/2006/relationships" ref="J124" display="https://tuyensinh.dhanninh.edu.vn/" r:id="rId351"/>
    <hyperlink xmlns:r="http://schemas.openxmlformats.org/officeDocument/2006/relationships" ref="G125" location="'ĐH%20Cảnh%20sát%20ND'!A1" display="ĐH Cảnh sát ND" r:id="rId352"/>
    <hyperlink xmlns:r="http://schemas.openxmlformats.org/officeDocument/2006/relationships" ref="I125" display="https://dhcsnd.edu.vn/" r:id="rId353"/>
    <hyperlink xmlns:r="http://schemas.openxmlformats.org/officeDocument/2006/relationships" ref="J125" display="https://tuyensinh.dhcsnd.edu.vn/" r:id="rId354"/>
    <hyperlink xmlns:r="http://schemas.openxmlformats.org/officeDocument/2006/relationships" ref="G126" location="'ĐH%20PCCC'!A1" display="ĐH PCCC" r:id="rId355"/>
    <hyperlink xmlns:r="http://schemas.openxmlformats.org/officeDocument/2006/relationships" ref="I126" display="https://daihocpccc.edu.vn/" r:id="rId356"/>
    <hyperlink xmlns:r="http://schemas.openxmlformats.org/officeDocument/2006/relationships" ref="J126" display="https://tuyensinh.daihocpccc.edu.vn/" r:id="rId357"/>
    <hyperlink xmlns:r="http://schemas.openxmlformats.org/officeDocument/2006/relationships" ref="G127" location="'HV%20Quốc%20tế%20(AIS)'!A1" display="HV Quốc tế (AIS)" r:id="rId358"/>
    <hyperlink xmlns:r="http://schemas.openxmlformats.org/officeDocument/2006/relationships" ref="I127" display="https://ais.edu.vn/" r:id="rId359"/>
    <hyperlink xmlns:r="http://schemas.openxmlformats.org/officeDocument/2006/relationships" ref="J127" display="https://tuyensinh.ais.edu.vn/" r:id="rId36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7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Đại học Bách khoa Hà Nội (HUST)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https://hust.edu.vn/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https://ts.hust.edu.vn/</t>
        </is>
      </c>
    </row>
    <row r="7" ht="39.75" customHeight="1" s="35">
      <c r="A7" s="66" t="inlineStr">
        <is>
          <t>Nguồn/ghi chú:</t>
        </is>
      </c>
      <c r="B7" s="37" t="inlineStr">
        <is>
          <t>Danh sách chương trình đào tạo đại học chính quy 2026 (xét theo điểm thi THPT). Nguồn: huongnghiep.hocmai.vn/de-an/dai-hoc-bach-khoa-ha-noi (65 chương trình); FL4 lấy thêm từ diemthi.tuyensinh247.com. Trường công bố 68 chương trình, còn thiếu 2 chương trình chưa xác định. Mã là mã chương trình do trường quy định.</t>
        </is>
      </c>
    </row>
    <row r="8" ht="39.75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 ht="15" customHeight="1" s="35">
      <c r="A11" s="48" t="n">
        <v>1</v>
      </c>
      <c r="B11" s="47" t="inlineStr">
        <is>
          <t>BF-E12</t>
        </is>
      </c>
      <c r="C11" s="47" t="inlineStr">
        <is>
          <t>Kỹ thuật Thực phẩm (CT tiên tiến)</t>
        </is>
      </c>
    </row>
    <row r="12" ht="15" customHeight="1" s="35">
      <c r="A12" s="48" t="n">
        <v>2</v>
      </c>
      <c r="B12" s="47" t="inlineStr">
        <is>
          <t>BF-E19</t>
        </is>
      </c>
      <c r="C12" s="47" t="inlineStr">
        <is>
          <t>Kỹ thuật sinh học (CT tiên tiến)</t>
        </is>
      </c>
    </row>
    <row r="13" ht="15" customHeight="1" s="35">
      <c r="A13" s="48" t="n">
        <v>3</v>
      </c>
      <c r="B13" s="47" t="inlineStr">
        <is>
          <t>BF1</t>
        </is>
      </c>
      <c r="C13" s="47" t="inlineStr">
        <is>
          <t>Kỹ thuật Sinh học</t>
        </is>
      </c>
    </row>
    <row r="14" ht="15" customHeight="1" s="35">
      <c r="A14" s="48" t="n">
        <v>4</v>
      </c>
      <c r="B14" s="47" t="inlineStr">
        <is>
          <t>BF2</t>
        </is>
      </c>
      <c r="C14" s="47" t="inlineStr">
        <is>
          <t>Kỹ thuật Thực phẩm</t>
        </is>
      </c>
    </row>
    <row r="15" ht="15" customHeight="1" s="35">
      <c r="A15" s="48" t="n">
        <v>5</v>
      </c>
      <c r="B15" s="47" t="inlineStr">
        <is>
          <t>CH-E11</t>
        </is>
      </c>
      <c r="C15" s="47" t="inlineStr">
        <is>
          <t>Kỹ thuật Hóa dược (CT tiên tiến)</t>
        </is>
      </c>
    </row>
    <row r="16" ht="15" customHeight="1" s="35">
      <c r="A16" s="48" t="n">
        <v>6</v>
      </c>
      <c r="B16" s="47" t="inlineStr">
        <is>
          <t>CH1</t>
        </is>
      </c>
      <c r="C16" s="47" t="inlineStr">
        <is>
          <t>Kỹ thuật Hoá học</t>
        </is>
      </c>
    </row>
    <row r="17" ht="15" customHeight="1" s="35">
      <c r="A17" s="48" t="n">
        <v>7</v>
      </c>
      <c r="B17" s="47" t="inlineStr">
        <is>
          <t>CH2</t>
        </is>
      </c>
      <c r="C17" s="47" t="inlineStr">
        <is>
          <t>Hoá học</t>
        </is>
      </c>
    </row>
    <row r="18" ht="15" customHeight="1" s="35">
      <c r="A18" s="48" t="n">
        <v>8</v>
      </c>
      <c r="B18" s="47" t="inlineStr">
        <is>
          <t>ED2</t>
        </is>
      </c>
      <c r="C18" s="47" t="inlineStr">
        <is>
          <t>Công nghệ giáo dục</t>
        </is>
      </c>
    </row>
    <row r="19" ht="15" customHeight="1" s="35">
      <c r="A19" s="48" t="n">
        <v>9</v>
      </c>
      <c r="B19" s="47" t="inlineStr">
        <is>
          <t>ED3</t>
        </is>
      </c>
      <c r="C19" s="47" t="inlineStr">
        <is>
          <t>Quản lý giáo dục</t>
        </is>
      </c>
    </row>
    <row r="20" ht="15" customHeight="1" s="35">
      <c r="A20" s="48" t="n">
        <v>10</v>
      </c>
      <c r="B20" s="47" t="inlineStr">
        <is>
          <t>EE-E18</t>
        </is>
      </c>
      <c r="C20" s="47" t="inlineStr">
        <is>
          <t>Hệ thống điện và năng lượng tái tạo (CT tiên tiến)</t>
        </is>
      </c>
    </row>
    <row r="21" ht="15" customHeight="1" s="35">
      <c r="A21" s="48" t="n">
        <v>11</v>
      </c>
      <c r="B21" s="47" t="inlineStr">
        <is>
          <t>EE-E8</t>
        </is>
      </c>
      <c r="C21" s="47" t="inlineStr">
        <is>
          <t>Kỹ thuật Điều khiển – Tự động hoá (CT tiên tiến)</t>
        </is>
      </c>
    </row>
    <row r="22" ht="15" customHeight="1" s="35">
      <c r="A22" s="48" t="n">
        <v>12</v>
      </c>
      <c r="B22" s="47" t="inlineStr">
        <is>
          <t>EE-EP</t>
        </is>
      </c>
      <c r="C22" s="47" t="inlineStr">
        <is>
          <t>Tin học công nghiệp và Tự động hóa (Chương trình Việt – Pháp PFIEV)</t>
        </is>
      </c>
    </row>
    <row r="23" ht="15" customHeight="1" s="35">
      <c r="A23" s="48" t="n">
        <v>13</v>
      </c>
      <c r="B23" s="47" t="inlineStr">
        <is>
          <t>EE1</t>
        </is>
      </c>
      <c r="C23" s="47" t="inlineStr">
        <is>
          <t>Kỹ thuật Điện</t>
        </is>
      </c>
    </row>
    <row r="24" ht="15" customHeight="1" s="35">
      <c r="A24" s="48" t="n">
        <v>14</v>
      </c>
      <c r="B24" s="47" t="inlineStr">
        <is>
          <t>EE2</t>
        </is>
      </c>
      <c r="C24" s="47" t="inlineStr">
        <is>
          <t>Kỹ thuật Điều khiển – Tự động hoá</t>
        </is>
      </c>
    </row>
    <row r="25" ht="15" customHeight="1" s="35">
      <c r="A25" s="48" t="n">
        <v>15</v>
      </c>
      <c r="B25" s="47" t="inlineStr">
        <is>
          <t>EM-E13</t>
        </is>
      </c>
      <c r="C25" s="47" t="inlineStr">
        <is>
          <t>Phân tích kinh doanh (CT tiên tiến)</t>
        </is>
      </c>
    </row>
    <row r="26" ht="15" customHeight="1" s="35">
      <c r="A26" s="48" t="n">
        <v>16</v>
      </c>
      <c r="B26" s="47" t="inlineStr">
        <is>
          <t>EM-E14</t>
        </is>
      </c>
      <c r="C26" s="47" t="inlineStr">
        <is>
          <t>Logistics và Quản lý chuỗi cung ứng (CT tiên tiến)</t>
        </is>
      </c>
    </row>
    <row r="27" ht="15" customHeight="1" s="35">
      <c r="A27" s="48" t="n">
        <v>17</v>
      </c>
      <c r="B27" s="47" t="inlineStr">
        <is>
          <t>EM1</t>
        </is>
      </c>
      <c r="C27" s="47" t="inlineStr">
        <is>
          <t>Quản lý năng lượng</t>
        </is>
      </c>
    </row>
    <row r="28" ht="15" customHeight="1" s="35">
      <c r="A28" s="48" t="n">
        <v>18</v>
      </c>
      <c r="B28" s="47" t="inlineStr">
        <is>
          <t>EM2</t>
        </is>
      </c>
      <c r="C28" s="47" t="inlineStr">
        <is>
          <t>Quản lý công nghiệp</t>
        </is>
      </c>
    </row>
    <row r="29" ht="15" customHeight="1" s="35">
      <c r="A29" s="48" t="n">
        <v>19</v>
      </c>
      <c r="B29" s="47" t="inlineStr">
        <is>
          <t>EM3</t>
        </is>
      </c>
      <c r="C29" s="47" t="inlineStr">
        <is>
          <t>Quản trị kinh doanh</t>
        </is>
      </c>
    </row>
    <row r="30" ht="15" customHeight="1" s="35">
      <c r="A30" s="48" t="n">
        <v>20</v>
      </c>
      <c r="B30" s="47" t="inlineStr">
        <is>
          <t>EM4</t>
        </is>
      </c>
      <c r="C30" s="47" t="inlineStr">
        <is>
          <t>Kế toán</t>
        </is>
      </c>
    </row>
    <row r="31" ht="15" customHeight="1" s="35">
      <c r="A31" s="48" t="n">
        <v>21</v>
      </c>
      <c r="B31" s="47" t="inlineStr">
        <is>
          <t>EM5</t>
        </is>
      </c>
      <c r="C31" s="47" t="inlineStr">
        <is>
          <t>Tài chính – Ngân hàng</t>
        </is>
      </c>
    </row>
    <row r="32" ht="15" customHeight="1" s="35">
      <c r="A32" s="48" t="n">
        <v>22</v>
      </c>
      <c r="B32" s="47" t="inlineStr">
        <is>
          <t>ET-E16</t>
        </is>
      </c>
      <c r="C32" s="47" t="inlineStr">
        <is>
          <t>Truyền thông số và Kỹ thuật đa phương tiện (CT tiên tiến)</t>
        </is>
      </c>
    </row>
    <row r="33" ht="15" customHeight="1" s="35">
      <c r="A33" s="48" t="n">
        <v>23</v>
      </c>
      <c r="B33" s="47" t="inlineStr">
        <is>
          <t>ET-E4</t>
        </is>
      </c>
      <c r="C33" s="47" t="inlineStr">
        <is>
          <t>Kỹ thuật Điện tử – Viễn thông (CT tiên tiến)</t>
        </is>
      </c>
    </row>
    <row r="34" ht="15" customHeight="1" s="35">
      <c r="A34" s="48" t="n">
        <v>24</v>
      </c>
      <c r="B34" s="47" t="inlineStr">
        <is>
          <t>ET-E5</t>
        </is>
      </c>
      <c r="C34" s="47" t="inlineStr">
        <is>
          <t>Kỹ thuật Y sinh (CT tiên tiến)</t>
        </is>
      </c>
    </row>
    <row r="35" ht="15" customHeight="1" s="35">
      <c r="A35" s="48" t="n">
        <v>25</v>
      </c>
      <c r="B35" s="47" t="inlineStr">
        <is>
          <t>ET-E9</t>
        </is>
      </c>
      <c r="C35" s="47" t="inlineStr">
        <is>
          <t>Hệ thống nhúng thông minh và IoT (CT tiên tiến)</t>
        </is>
      </c>
    </row>
    <row r="36" ht="15" customHeight="1" s="35">
      <c r="A36" s="48" t="n">
        <v>26</v>
      </c>
      <c r="B36" s="47" t="inlineStr">
        <is>
          <t>ET-LUH</t>
        </is>
      </c>
      <c r="C36" s="47" t="inlineStr">
        <is>
          <t>Điện tử – Viễn thông – hợp tác với ĐH Leibniz Hannover (Đức)</t>
        </is>
      </c>
    </row>
    <row r="37" ht="15" customHeight="1" s="35">
      <c r="A37" s="48" t="n">
        <v>27</v>
      </c>
      <c r="B37" s="47" t="inlineStr">
        <is>
          <t>ET1</t>
        </is>
      </c>
      <c r="C37" s="47" t="inlineStr">
        <is>
          <t>Kỹ thuật Điện tử – Viễn thông</t>
        </is>
      </c>
    </row>
    <row r="38" ht="15" customHeight="1" s="35">
      <c r="A38" s="48" t="n">
        <v>28</v>
      </c>
      <c r="B38" s="47" t="inlineStr">
        <is>
          <t>ET2</t>
        </is>
      </c>
      <c r="C38" s="47" t="inlineStr">
        <is>
          <t>Kỹ thuật Y sinh</t>
        </is>
      </c>
    </row>
    <row r="39" ht="15" customHeight="1" s="35">
      <c r="A39" s="48" t="n">
        <v>29</v>
      </c>
      <c r="B39" s="47" t="inlineStr">
        <is>
          <t>EV1</t>
        </is>
      </c>
      <c r="C39" s="47" t="inlineStr">
        <is>
          <t>Kỹ thuật Môi trường</t>
        </is>
      </c>
    </row>
    <row r="40" ht="15" customHeight="1" s="35">
      <c r="A40" s="48" t="n">
        <v>30</v>
      </c>
      <c r="B40" s="47" t="inlineStr">
        <is>
          <t>EV2</t>
        </is>
      </c>
      <c r="C40" s="47" t="inlineStr">
        <is>
          <t>Quản lý Tài nguyên và Môi trường</t>
        </is>
      </c>
    </row>
    <row r="41" ht="15" customHeight="1" s="35">
      <c r="A41" s="48" t="n">
        <v>31</v>
      </c>
      <c r="B41" s="47" t="inlineStr">
        <is>
          <t>FL1</t>
        </is>
      </c>
      <c r="C41" s="47" t="inlineStr">
        <is>
          <t>Tiếng Anh KHKT và Công nghệ</t>
        </is>
      </c>
    </row>
    <row r="42" ht="15" customHeight="1" s="35">
      <c r="A42" s="48" t="n">
        <v>32</v>
      </c>
      <c r="B42" s="47" t="inlineStr">
        <is>
          <t>FL2</t>
        </is>
      </c>
      <c r="C42" s="47" t="inlineStr">
        <is>
          <t>Tiếng Anh chuyên nghiệp quốc tế</t>
        </is>
      </c>
    </row>
    <row r="43" ht="15" customHeight="1" s="35">
      <c r="A43" s="48" t="n">
        <v>33</v>
      </c>
      <c r="B43" s="47" t="inlineStr">
        <is>
          <t>FL3</t>
        </is>
      </c>
      <c r="C43" s="47" t="inlineStr">
        <is>
          <t>Tiếng Trung KHKT và Công nghệ</t>
        </is>
      </c>
    </row>
    <row r="44" ht="15" customHeight="1" s="35">
      <c r="A44" s="48" t="n">
        <v>34</v>
      </c>
      <c r="B44" s="47" t="inlineStr">
        <is>
          <t>FL4</t>
        </is>
      </c>
      <c r="C44" s="47" t="inlineStr">
        <is>
          <t>Tiếng Hàn Khoa học và Công nghệ (mới)</t>
        </is>
      </c>
    </row>
    <row r="45" ht="15" customHeight="1" s="35">
      <c r="A45" s="48" t="n">
        <v>35</v>
      </c>
      <c r="B45" s="47" t="inlineStr">
        <is>
          <t>HE1</t>
        </is>
      </c>
      <c r="C45" s="47" t="inlineStr">
        <is>
          <t>Kỹ thuật Nhiệt</t>
        </is>
      </c>
    </row>
    <row r="46" ht="15" customHeight="1" s="35">
      <c r="A46" s="48" t="n">
        <v>36</v>
      </c>
      <c r="B46" s="47" t="inlineStr">
        <is>
          <t>IT-E10</t>
        </is>
      </c>
      <c r="C46" s="47" t="inlineStr">
        <is>
          <t>Khoa học dữ liệu và Trí tuệ nhân tạo (CT tiên tiến)</t>
        </is>
      </c>
    </row>
    <row r="47" ht="15" customHeight="1" s="35">
      <c r="A47" s="48" t="n">
        <v>37</v>
      </c>
      <c r="B47" s="47" t="inlineStr">
        <is>
          <t>IT-E15</t>
        </is>
      </c>
      <c r="C47" s="47" t="inlineStr">
        <is>
          <t>An toàn không gian số – Cyber Security (CT Tiên tiến)</t>
        </is>
      </c>
    </row>
    <row r="48" ht="15" customHeight="1" s="35">
      <c r="A48" s="48" t="n">
        <v>38</v>
      </c>
      <c r="B48" s="47" t="inlineStr">
        <is>
          <t>IT-E6</t>
        </is>
      </c>
      <c r="C48" s="47" t="inlineStr">
        <is>
          <t>Công nghệ thông tin (Việt – Nhật)</t>
        </is>
      </c>
    </row>
    <row r="49" ht="15" customHeight="1" s="35">
      <c r="A49" s="48" t="n">
        <v>39</v>
      </c>
      <c r="B49" s="47" t="inlineStr">
        <is>
          <t>IT-E7</t>
        </is>
      </c>
      <c r="C49" s="47" t="inlineStr">
        <is>
          <t>Công nghệ thông tin (Global ICT)</t>
        </is>
      </c>
    </row>
    <row r="50" ht="15" customHeight="1" s="35">
      <c r="A50" s="48" t="n">
        <v>40</v>
      </c>
      <c r="B50" s="47" t="inlineStr">
        <is>
          <t>IT-EP</t>
        </is>
      </c>
      <c r="C50" s="47" t="inlineStr">
        <is>
          <t>Công nghệ thông tin (Việt – Pháp)</t>
        </is>
      </c>
    </row>
    <row r="51" ht="15" customHeight="1" s="35">
      <c r="A51" s="48" t="n">
        <v>41</v>
      </c>
      <c r="B51" s="47" t="inlineStr">
        <is>
          <t>IT1</t>
        </is>
      </c>
      <c r="C51" s="47" t="inlineStr">
        <is>
          <t>CNTT: Khoa học Máy tính</t>
        </is>
      </c>
    </row>
    <row r="52" ht="15" customHeight="1" s="35">
      <c r="A52" s="48" t="n">
        <v>42</v>
      </c>
      <c r="B52" s="47" t="inlineStr">
        <is>
          <t>IT2</t>
        </is>
      </c>
      <c r="C52" s="47" t="inlineStr">
        <is>
          <t>CNTT: Kỹ thuật Máy tính</t>
        </is>
      </c>
    </row>
    <row r="53" ht="15" customHeight="1" s="35">
      <c r="A53" s="48" t="n">
        <v>43</v>
      </c>
      <c r="B53" s="47" t="inlineStr">
        <is>
          <t>ME-E1</t>
        </is>
      </c>
      <c r="C53" s="47" t="inlineStr">
        <is>
          <t>Kỹ thuật Cơ điện tử (CT tiên tiến)</t>
        </is>
      </c>
    </row>
    <row r="54" ht="15" customHeight="1" s="35">
      <c r="A54" s="48" t="n">
        <v>44</v>
      </c>
      <c r="B54" s="47" t="inlineStr">
        <is>
          <t>ME-GU</t>
        </is>
      </c>
      <c r="C54" s="47" t="inlineStr">
        <is>
          <t>Cơ khí – Chế tạo máy – hợp tác với ĐH Griffith (Úc)</t>
        </is>
      </c>
    </row>
    <row r="55" ht="15" customHeight="1" s="35">
      <c r="A55" s="48" t="n">
        <v>45</v>
      </c>
      <c r="B55" s="47" t="inlineStr">
        <is>
          <t>ME-LUH</t>
        </is>
      </c>
      <c r="C55" s="47" t="inlineStr">
        <is>
          <t>Cơ điện tử – hợp tác với ĐH Leibniz Hannover (Đức)</t>
        </is>
      </c>
    </row>
    <row r="56" ht="15" customHeight="1" s="35">
      <c r="A56" s="48" t="n">
        <v>46</v>
      </c>
      <c r="B56" s="47" t="inlineStr">
        <is>
          <t>ME-NUT</t>
        </is>
      </c>
      <c r="C56" s="47" t="inlineStr">
        <is>
          <t>Cơ điện tử – hợp tác với ĐH Công nghệ Nagaoka (Nhật Bản)</t>
        </is>
      </c>
    </row>
    <row r="57" ht="15" customHeight="1" s="35">
      <c r="A57" s="48" t="n">
        <v>47</v>
      </c>
      <c r="B57" s="47" t="inlineStr">
        <is>
          <t>ME1</t>
        </is>
      </c>
      <c r="C57" s="47" t="inlineStr">
        <is>
          <t>Kỹ thuật Cơ điện tử</t>
        </is>
      </c>
    </row>
    <row r="58" ht="15" customHeight="1" s="35">
      <c r="A58" s="48" t="n">
        <v>48</v>
      </c>
      <c r="B58" s="47" t="inlineStr">
        <is>
          <t>ME2</t>
        </is>
      </c>
      <c r="C58" s="47" t="inlineStr">
        <is>
          <t>Kỹ thuật Cơ khí</t>
        </is>
      </c>
    </row>
    <row r="59" ht="15" customHeight="1" s="35">
      <c r="A59" s="48" t="n">
        <v>49</v>
      </c>
      <c r="B59" s="47" t="inlineStr">
        <is>
          <t>MI1</t>
        </is>
      </c>
      <c r="C59" s="47" t="inlineStr">
        <is>
          <t>Toán – Tin</t>
        </is>
      </c>
    </row>
    <row r="60" ht="15" customHeight="1" s="35">
      <c r="A60" s="48" t="n">
        <v>50</v>
      </c>
      <c r="B60" s="47" t="inlineStr">
        <is>
          <t>MI2</t>
        </is>
      </c>
      <c r="C60" s="47" t="inlineStr">
        <is>
          <t>Hệ thống thông tin quản lý</t>
        </is>
      </c>
    </row>
    <row r="61" ht="15" customHeight="1" s="35">
      <c r="A61" s="48" t="n">
        <v>51</v>
      </c>
      <c r="B61" s="47" t="inlineStr">
        <is>
          <t>MS-E3</t>
        </is>
      </c>
      <c r="C61" s="47" t="inlineStr">
        <is>
          <t>Khoa học và kỹ thuật vật liệu (CT tiên tiến)</t>
        </is>
      </c>
    </row>
    <row r="62" ht="15" customHeight="1" s="35">
      <c r="A62" s="48" t="n">
        <v>52</v>
      </c>
      <c r="B62" s="47" t="inlineStr">
        <is>
          <t>MS1</t>
        </is>
      </c>
      <c r="C62" s="47" t="inlineStr">
        <is>
          <t>Kỹ thuật Vật liệu</t>
        </is>
      </c>
    </row>
    <row r="63" ht="15" customHeight="1" s="35">
      <c r="A63" s="48" t="n">
        <v>53</v>
      </c>
      <c r="B63" s="47" t="inlineStr">
        <is>
          <t>MS2</t>
        </is>
      </c>
      <c r="C63" s="47" t="inlineStr">
        <is>
          <t>Kỹ thuật Vi điện tử và Công nghệ nano</t>
        </is>
      </c>
    </row>
    <row r="64" ht="15" customHeight="1" s="35">
      <c r="A64" s="48" t="n">
        <v>54</v>
      </c>
      <c r="B64" s="47" t="inlineStr">
        <is>
          <t>MS3</t>
        </is>
      </c>
      <c r="C64" s="47" t="inlineStr">
        <is>
          <t>Công nghệ vật liệu Polyme và Compozit</t>
        </is>
      </c>
    </row>
    <row r="65" ht="15" customHeight="1" s="35">
      <c r="A65" s="48" t="n">
        <v>55</v>
      </c>
      <c r="B65" s="47" t="inlineStr">
        <is>
          <t>MS5</t>
        </is>
      </c>
      <c r="C65" s="47" t="inlineStr">
        <is>
          <t>Kỹ thuật in</t>
        </is>
      </c>
    </row>
    <row r="66" ht="15" customHeight="1" s="35">
      <c r="A66" s="48" t="n">
        <v>56</v>
      </c>
      <c r="B66" s="47" t="inlineStr">
        <is>
          <t>PH1</t>
        </is>
      </c>
      <c r="C66" s="47" t="inlineStr">
        <is>
          <t>Vật lý kỹ thuật</t>
        </is>
      </c>
    </row>
    <row r="67" ht="15" customHeight="1" s="35">
      <c r="A67" s="48" t="n">
        <v>57</v>
      </c>
      <c r="B67" s="47" t="inlineStr">
        <is>
          <t>PH2</t>
        </is>
      </c>
      <c r="C67" s="47" t="inlineStr">
        <is>
          <t>Kỹ thuật hạt nhân</t>
        </is>
      </c>
    </row>
    <row r="68" ht="15" customHeight="1" s="35">
      <c r="A68" s="48" t="n">
        <v>58</v>
      </c>
      <c r="B68" s="47" t="inlineStr">
        <is>
          <t>PH3</t>
        </is>
      </c>
      <c r="C68" s="47" t="inlineStr">
        <is>
          <t>Vật lý Y khoa</t>
        </is>
      </c>
    </row>
    <row r="69" ht="15" customHeight="1" s="35">
      <c r="A69" s="48" t="n">
        <v>59</v>
      </c>
      <c r="B69" s="47" t="inlineStr">
        <is>
          <t>TE-E2</t>
        </is>
      </c>
      <c r="C69" s="47" t="inlineStr">
        <is>
          <t>Kỹ thuật Ô tô (CT tiên tiến)</t>
        </is>
      </c>
    </row>
    <row r="70" ht="15" customHeight="1" s="35">
      <c r="A70" s="48" t="n">
        <v>60</v>
      </c>
      <c r="B70" s="47" t="inlineStr">
        <is>
          <t>TE-EP</t>
        </is>
      </c>
      <c r="C70" s="47" t="inlineStr">
        <is>
          <t>Cơ khí hàng không (Chương trình Việt – Pháp PFIEV)</t>
        </is>
      </c>
    </row>
    <row r="71" ht="15" customHeight="1" s="35">
      <c r="A71" s="48" t="n">
        <v>61</v>
      </c>
      <c r="B71" s="47" t="inlineStr">
        <is>
          <t>TE1</t>
        </is>
      </c>
      <c r="C71" s="47" t="inlineStr">
        <is>
          <t>Kỹ thuật Ô tô</t>
        </is>
      </c>
    </row>
    <row r="72" ht="15" customHeight="1" s="35">
      <c r="A72" s="48" t="n">
        <v>62</v>
      </c>
      <c r="B72" s="47" t="inlineStr">
        <is>
          <t>TE2</t>
        </is>
      </c>
      <c r="C72" s="47" t="inlineStr">
        <is>
          <t>Kỹ thuật Cơ khí động lực</t>
        </is>
      </c>
    </row>
    <row r="73" ht="15" customHeight="1" s="35">
      <c r="A73" s="48" t="n">
        <v>63</v>
      </c>
      <c r="B73" s="47" t="inlineStr">
        <is>
          <t>TE3</t>
        </is>
      </c>
      <c r="C73" s="47" t="inlineStr">
        <is>
          <t>Kỹ thuật Hàng không</t>
        </is>
      </c>
    </row>
    <row r="74" ht="15" customHeight="1" s="35">
      <c r="A74" s="48" t="n">
        <v>64</v>
      </c>
      <c r="B74" s="47" t="inlineStr">
        <is>
          <t>TROY-BA</t>
        </is>
      </c>
      <c r="C74" s="47" t="inlineStr">
        <is>
          <t>Quản trị kinh doanh – hợp tác với ĐH Troy (Hoa Kỳ)</t>
        </is>
      </c>
    </row>
    <row r="75" ht="15" customHeight="1" s="35">
      <c r="A75" s="48" t="n">
        <v>65</v>
      </c>
      <c r="B75" s="47" t="inlineStr">
        <is>
          <t>TROY-IT</t>
        </is>
      </c>
      <c r="C75" s="47" t="inlineStr">
        <is>
          <t>Khoa học máy tính – hợp tác với ĐH Troy (Hoa Kỳ)</t>
        </is>
      </c>
    </row>
    <row r="76" ht="15" customHeight="1" s="35">
      <c r="A76" s="48" t="n">
        <v>66</v>
      </c>
      <c r="B76" s="47" t="inlineStr">
        <is>
          <t>TX1</t>
        </is>
      </c>
      <c r="C76" s="47" t="inlineStr">
        <is>
          <t>Công nghệ Dệt – May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ust.edu.vn/" r:id="rId2"/>
    <hyperlink xmlns:r="http://schemas.openxmlformats.org/officeDocument/2006/relationships" ref="B6" display="https://ts.hust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Đại học Kinh tế Quốc dân (NEU)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https://neu.edu.vn/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https://daotao.neu.edu.vn/ hoặc https://xtkh.neu.edu.vn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ngành/chương trình chính quy 2025-2026 (các mã chính). Nguồn tổng hợp từ daotao.neu.edu.vn, kenhtuyensinh.vn, thuvienphapluat.vn. Trường có ~88 mã CTĐT (gồm tiếng Anh, CLC, POHE, tiên tiến); liệt kê các mã ngành cốt lõi.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7220201</t>
        </is>
      </c>
      <c r="C11" s="34" t="inlineStr">
        <is>
          <t>Ngôn ngữ Anh</t>
        </is>
      </c>
    </row>
    <row r="12">
      <c r="A12" s="34" t="n">
        <v>2</v>
      </c>
      <c r="B12" s="34" t="inlineStr">
        <is>
          <t>7310101</t>
        </is>
      </c>
      <c r="C12" s="34" t="inlineStr">
        <is>
          <t>Kinh tế</t>
        </is>
      </c>
    </row>
    <row r="13">
      <c r="A13" s="34" t="n">
        <v>3</v>
      </c>
      <c r="B13" s="34" t="inlineStr">
        <is>
          <t>7310104</t>
        </is>
      </c>
      <c r="C13" s="34" t="inlineStr">
        <is>
          <t>Kinh tế đầu tư</t>
        </is>
      </c>
    </row>
    <row r="14">
      <c r="A14" s="34" t="n">
        <v>4</v>
      </c>
      <c r="B14" s="34" t="inlineStr">
        <is>
          <t>7310105</t>
        </is>
      </c>
      <c r="C14" s="34" t="inlineStr">
        <is>
          <t>Kinh tế phát triển</t>
        </is>
      </c>
    </row>
    <row r="15">
      <c r="A15" s="34" t="n">
        <v>5</v>
      </c>
      <c r="B15" s="34" t="inlineStr">
        <is>
          <t>7310106</t>
        </is>
      </c>
      <c r="C15" s="34" t="inlineStr">
        <is>
          <t>Kinh tế quốc tế</t>
        </is>
      </c>
    </row>
    <row r="16">
      <c r="A16" s="34" t="n">
        <v>6</v>
      </c>
      <c r="B16" s="34" t="inlineStr">
        <is>
          <t>7310107</t>
        </is>
      </c>
      <c r="C16" s="34" t="inlineStr">
        <is>
          <t>Thống kê kinh tế</t>
        </is>
      </c>
    </row>
    <row r="17">
      <c r="A17" s="34" t="n">
        <v>7</v>
      </c>
      <c r="B17" s="34" t="inlineStr">
        <is>
          <t>7310108</t>
        </is>
      </c>
      <c r="C17" s="34" t="inlineStr">
        <is>
          <t>Toán kinh tế</t>
        </is>
      </c>
    </row>
    <row r="18">
      <c r="A18" s="34" t="n">
        <v>8</v>
      </c>
      <c r="B18" s="34" t="inlineStr">
        <is>
          <t>7320108</t>
        </is>
      </c>
      <c r="C18" s="34" t="inlineStr">
        <is>
          <t>Quan hệ công chúng</t>
        </is>
      </c>
    </row>
    <row r="19">
      <c r="A19" s="34" t="n">
        <v>9</v>
      </c>
      <c r="B19" s="34" t="inlineStr">
        <is>
          <t>7340101</t>
        </is>
      </c>
      <c r="C19" s="34" t="inlineStr">
        <is>
          <t>Quản trị kinh doanh</t>
        </is>
      </c>
    </row>
    <row r="20">
      <c r="A20" s="34" t="n">
        <v>10</v>
      </c>
      <c r="B20" s="34" t="inlineStr">
        <is>
          <t>7340115</t>
        </is>
      </c>
      <c r="C20" s="34" t="inlineStr">
        <is>
          <t>Marketing</t>
        </is>
      </c>
    </row>
    <row r="21">
      <c r="A21" s="34" t="n">
        <v>11</v>
      </c>
      <c r="B21" s="34" t="inlineStr">
        <is>
          <t>7340116</t>
        </is>
      </c>
      <c r="C21" s="34" t="inlineStr">
        <is>
          <t>Bất động sản</t>
        </is>
      </c>
    </row>
    <row r="22">
      <c r="A22" s="34" t="n">
        <v>12</v>
      </c>
      <c r="B22" s="34" t="inlineStr">
        <is>
          <t>7340120</t>
        </is>
      </c>
      <c r="C22" s="34" t="inlineStr">
        <is>
          <t>Kinh doanh quốc tế</t>
        </is>
      </c>
    </row>
    <row r="23">
      <c r="A23" s="34" t="n">
        <v>13</v>
      </c>
      <c r="B23" s="34" t="inlineStr">
        <is>
          <t>7340121</t>
        </is>
      </c>
      <c r="C23" s="34" t="inlineStr">
        <is>
          <t>Kinh doanh thương mại</t>
        </is>
      </c>
    </row>
    <row r="24">
      <c r="A24" s="34" t="n">
        <v>14</v>
      </c>
      <c r="B24" s="34" t="inlineStr">
        <is>
          <t>7340122</t>
        </is>
      </c>
      <c r="C24" s="34" t="inlineStr">
        <is>
          <t>Thương mại điện tử</t>
        </is>
      </c>
    </row>
    <row r="25">
      <c r="A25" s="34" t="n">
        <v>15</v>
      </c>
      <c r="B25" s="34" t="inlineStr">
        <is>
          <t>7340201</t>
        </is>
      </c>
      <c r="C25" s="34" t="inlineStr">
        <is>
          <t>Tài chính – Ngân hàng</t>
        </is>
      </c>
    </row>
    <row r="26">
      <c r="A26" s="34" t="n">
        <v>16</v>
      </c>
      <c r="B26" s="34" t="inlineStr">
        <is>
          <t>7340204</t>
        </is>
      </c>
      <c r="C26" s="34" t="inlineStr">
        <is>
          <t>Bảo hiểm</t>
        </is>
      </c>
    </row>
    <row r="27">
      <c r="A27" s="34" t="n">
        <v>17</v>
      </c>
      <c r="B27" s="34" t="inlineStr">
        <is>
          <t>7340301</t>
        </is>
      </c>
      <c r="C27" s="34" t="inlineStr">
        <is>
          <t>Kế toán</t>
        </is>
      </c>
    </row>
    <row r="28">
      <c r="A28" s="34" t="n">
        <v>18</v>
      </c>
      <c r="B28" s="34" t="inlineStr">
        <is>
          <t>7340302</t>
        </is>
      </c>
      <c r="C28" s="34" t="inlineStr">
        <is>
          <t>Kiểm toán</t>
        </is>
      </c>
    </row>
    <row r="29">
      <c r="A29" s="34" t="n">
        <v>19</v>
      </c>
      <c r="B29" s="34" t="inlineStr">
        <is>
          <t>7340401</t>
        </is>
      </c>
      <c r="C29" s="34" t="inlineStr">
        <is>
          <t>Khoa học quản lý</t>
        </is>
      </c>
    </row>
    <row r="30">
      <c r="A30" s="34" t="n">
        <v>20</v>
      </c>
      <c r="B30" s="34" t="inlineStr">
        <is>
          <t>7340403</t>
        </is>
      </c>
      <c r="C30" s="34" t="inlineStr">
        <is>
          <t>Quản lý công</t>
        </is>
      </c>
    </row>
    <row r="31">
      <c r="A31" s="34" t="n">
        <v>21</v>
      </c>
      <c r="B31" s="34" t="inlineStr">
        <is>
          <t>7340404</t>
        </is>
      </c>
      <c r="C31" s="34" t="inlineStr">
        <is>
          <t>Quản trị nhân lực</t>
        </is>
      </c>
    </row>
    <row r="32">
      <c r="A32" s="34" t="n">
        <v>22</v>
      </c>
      <c r="B32" s="34" t="inlineStr">
        <is>
          <t>7340405</t>
        </is>
      </c>
      <c r="C32" s="34" t="inlineStr">
        <is>
          <t>Hệ thống thông tin quản lý</t>
        </is>
      </c>
    </row>
    <row r="33">
      <c r="A33" s="34" t="n">
        <v>23</v>
      </c>
      <c r="B33" s="34" t="inlineStr">
        <is>
          <t>7340409</t>
        </is>
      </c>
      <c r="C33" s="34" t="inlineStr">
        <is>
          <t>Quản lý dự án</t>
        </is>
      </c>
    </row>
    <row r="34">
      <c r="A34" s="34" t="n">
        <v>24</v>
      </c>
      <c r="B34" s="34" t="inlineStr">
        <is>
          <t>7480101</t>
        </is>
      </c>
      <c r="C34" s="34" t="inlineStr">
        <is>
          <t>Khoa học máy tính</t>
        </is>
      </c>
    </row>
    <row r="35">
      <c r="A35" s="34" t="n">
        <v>25</v>
      </c>
      <c r="B35" s="34" t="inlineStr">
        <is>
          <t>7480201</t>
        </is>
      </c>
      <c r="C35" s="34" t="inlineStr">
        <is>
          <t>Công nghệ thông tin</t>
        </is>
      </c>
    </row>
    <row r="36">
      <c r="A36" s="34" t="n">
        <v>26</v>
      </c>
      <c r="B36" s="34" t="inlineStr">
        <is>
          <t>7480202</t>
        </is>
      </c>
      <c r="C36" s="34" t="inlineStr">
        <is>
          <t>An toàn thông tin</t>
        </is>
      </c>
    </row>
    <row r="37">
      <c r="A37" s="34" t="n">
        <v>27</v>
      </c>
      <c r="B37" s="34" t="inlineStr">
        <is>
          <t>7480104</t>
        </is>
      </c>
      <c r="C37" s="34" t="inlineStr">
        <is>
          <t>Hệ thống thông tin</t>
        </is>
      </c>
    </row>
    <row r="38">
      <c r="A38" s="34" t="n">
        <v>28</v>
      </c>
      <c r="B38" s="34" t="inlineStr">
        <is>
          <t>7380101</t>
        </is>
      </c>
      <c r="C38" s="34" t="inlineStr">
        <is>
          <t>Luật</t>
        </is>
      </c>
    </row>
    <row r="39">
      <c r="A39" s="34" t="n">
        <v>29</v>
      </c>
      <c r="B39" s="34" t="inlineStr">
        <is>
          <t>7380107</t>
        </is>
      </c>
      <c r="C39" s="34" t="inlineStr">
        <is>
          <t>Luật kinh tế</t>
        </is>
      </c>
    </row>
    <row r="40">
      <c r="A40" s="34" t="n">
        <v>30</v>
      </c>
      <c r="B40" s="34" t="inlineStr">
        <is>
          <t>7380109</t>
        </is>
      </c>
      <c r="C40" s="34" t="inlineStr">
        <is>
          <t>Luật thương mại quốc tế</t>
        </is>
      </c>
    </row>
    <row r="41">
      <c r="A41" s="34" t="n">
        <v>31</v>
      </c>
      <c r="B41" s="34" t="inlineStr">
        <is>
          <t>7510605</t>
        </is>
      </c>
      <c r="C41" s="34" t="inlineStr">
        <is>
          <t>Logistics và Quản lý chuỗi cung ứng</t>
        </is>
      </c>
    </row>
    <row r="42">
      <c r="A42" s="34" t="n">
        <v>32</v>
      </c>
      <c r="B42" s="34" t="inlineStr">
        <is>
          <t>7810201</t>
        </is>
      </c>
      <c r="C42" s="34" t="inlineStr">
        <is>
          <t>Quản trị khách sạn</t>
        </is>
      </c>
    </row>
    <row r="43">
      <c r="A43" s="34" t="n">
        <v>33</v>
      </c>
      <c r="B43" s="34" t="inlineStr">
        <is>
          <t>7810103</t>
        </is>
      </c>
      <c r="C43" s="34" t="inlineStr">
        <is>
          <t>Quản trị dịch vụ du lịch và lữ hành</t>
        </is>
      </c>
    </row>
    <row r="44">
      <c r="A44" s="34" t="n">
        <v>34</v>
      </c>
      <c r="B44" s="34" t="inlineStr">
        <is>
          <t>7850101</t>
        </is>
      </c>
      <c r="C44" s="34" t="inlineStr">
        <is>
          <t>Quản lý tài nguyên và môi trường</t>
        </is>
      </c>
    </row>
    <row r="45">
      <c r="A45" s="34" t="n">
        <v>35</v>
      </c>
      <c r="B45" s="34" t="inlineStr">
        <is>
          <t>7850103</t>
        </is>
      </c>
      <c r="C45" s="34" t="inlineStr">
        <is>
          <t>Quản lý đất đai</t>
        </is>
      </c>
    </row>
    <row r="46">
      <c r="A46" s="34" t="n">
        <v>36</v>
      </c>
      <c r="B46" s="34" t="inlineStr">
        <is>
          <t>7620115</t>
        </is>
      </c>
      <c r="C46" s="34" t="inlineStr">
        <is>
          <t>Kinh tế nông nghiệp</t>
        </is>
      </c>
    </row>
    <row r="47">
      <c r="A47" s="34" t="n">
        <v>37</v>
      </c>
      <c r="B47" s="34" t="inlineStr">
        <is>
          <t>7620114</t>
        </is>
      </c>
      <c r="C47" s="34" t="inlineStr">
        <is>
          <t>Kinh doanh nông nghiệp</t>
        </is>
      </c>
    </row>
    <row r="48">
      <c r="A48" s="34" t="n">
        <v>38</v>
      </c>
      <c r="B48" s="34" t="inlineStr">
        <is>
          <t>7850102</t>
        </is>
      </c>
      <c r="C48" s="34" t="inlineStr">
        <is>
          <t>Kinh tế tài nguyên thiên nhiên</t>
        </is>
      </c>
    </row>
    <row r="49">
      <c r="A49" s="34" t="n">
        <v>39</v>
      </c>
      <c r="B49" s="34" t="inlineStr">
        <is>
          <t>7340408</t>
        </is>
      </c>
      <c r="C49" s="34" t="inlineStr">
        <is>
          <t>Quan hệ lao động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neu.edu.vn/" r:id="rId2"/>
    <hyperlink xmlns:r="http://schemas.openxmlformats.org/officeDocument/2006/relationships" ref="B6" display="https://daotao.neu.edu.vn/ hoặc https://xtkh.neu.edu.vn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Đại học Ngoại thương (FTU)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https://ftu.edu.vn/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https://tuyensinh.ftu.edu.vn/ hoặc https://thongtintuyensinh.ftu.edu.vn/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ngành/chương trình chính quy 2026 (Hà Nội + các CT chính). Nguồn: thongtintuyensinh.ftu.edu.vn, diemthi.tuyensinh247.com, các báo cáo điểm chuẩn 2026. Trường có nhiều CT (TC, CLC, TT, ĐHNNQT) thuộc các ngành trên.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7380101</t>
        </is>
      </c>
      <c r="C11" s="34" t="inlineStr">
        <is>
          <t>Luật (Luật thương mại quốc tế - TC)</t>
        </is>
      </c>
    </row>
    <row r="12">
      <c r="A12" s="34" t="n">
        <v>2</v>
      </c>
      <c r="B12" s="34" t="inlineStr">
        <is>
          <t>7380109</t>
        </is>
      </c>
      <c r="C12" s="34" t="inlineStr">
        <is>
          <t>Luật Thương mại quốc tế</t>
        </is>
      </c>
    </row>
    <row r="13">
      <c r="A13" s="34" t="n">
        <v>3</v>
      </c>
      <c r="B13" s="34" t="inlineStr">
        <is>
          <t>7310101</t>
        </is>
      </c>
      <c r="C13" s="34" t="inlineStr">
        <is>
          <t>Kinh tế (Kinh tế đối ngoại - TC/CLC/TT)</t>
        </is>
      </c>
    </row>
    <row r="14">
      <c r="A14" s="34" t="n">
        <v>4</v>
      </c>
      <c r="B14" s="34" t="inlineStr">
        <is>
          <t>7310106</t>
        </is>
      </c>
      <c r="C14" s="34" t="inlineStr">
        <is>
          <t>Kinh tế quốc tế</t>
        </is>
      </c>
    </row>
    <row r="15">
      <c r="A15" s="34" t="n">
        <v>5</v>
      </c>
      <c r="B15" s="34" t="inlineStr">
        <is>
          <t>7340120</t>
        </is>
      </c>
      <c r="C15" s="34" t="inlineStr">
        <is>
          <t>Kinh doanh quốc tế (TC/CLC/TT i-Hons)</t>
        </is>
      </c>
    </row>
    <row r="16">
      <c r="A16" s="34" t="n">
        <v>6</v>
      </c>
      <c r="B16" s="34" t="inlineStr">
        <is>
          <t>7340101</t>
        </is>
      </c>
      <c r="C16" s="34" t="inlineStr">
        <is>
          <t>Quản trị kinh doanh (TC/CLC/TT)</t>
        </is>
      </c>
    </row>
    <row r="17">
      <c r="A17" s="34" t="n">
        <v>7</v>
      </c>
      <c r="B17" s="34" t="inlineStr">
        <is>
          <t>7340201</t>
        </is>
      </c>
      <c r="C17" s="34" t="inlineStr">
        <is>
          <t>Tài chính – Ngân hàng (TC/CLC/TT)</t>
        </is>
      </c>
    </row>
    <row r="18">
      <c r="A18" s="34" t="n">
        <v>8</v>
      </c>
      <c r="B18" s="34" t="inlineStr">
        <is>
          <t>7340301</t>
        </is>
      </c>
      <c r="C18" s="34" t="inlineStr">
        <is>
          <t>Kế toán – Kiểm toán (TC)</t>
        </is>
      </c>
    </row>
    <row r="19">
      <c r="A19" s="34" t="n">
        <v>9</v>
      </c>
      <c r="B19" s="34" t="inlineStr">
        <is>
          <t>7810201</t>
        </is>
      </c>
      <c r="C19" s="34" t="inlineStr">
        <is>
          <t>Quản trị khách sạn</t>
        </is>
      </c>
    </row>
    <row r="20">
      <c r="A20" s="34" t="n">
        <v>10</v>
      </c>
      <c r="B20" s="34" t="inlineStr">
        <is>
          <t>7510605</t>
        </is>
      </c>
      <c r="C20" s="34" t="inlineStr">
        <is>
          <t>Logistics và Quản lý chuỗi cung ứng</t>
        </is>
      </c>
    </row>
    <row r="21">
      <c r="A21" s="34" t="n">
        <v>11</v>
      </c>
      <c r="B21" s="34" t="inlineStr">
        <is>
          <t>7480101</t>
        </is>
      </c>
      <c r="C21" s="34" t="inlineStr">
        <is>
          <t>Khoa học máy tính / Khoa học dữ liệu / AI (CT mới 2026)</t>
        </is>
      </c>
    </row>
    <row r="22">
      <c r="A22" s="34" t="n">
        <v>12</v>
      </c>
      <c r="B22" s="34" t="inlineStr">
        <is>
          <t>7340115</t>
        </is>
      </c>
      <c r="C22" s="34" t="inlineStr">
        <is>
          <t>Marketing / Truyền thông Marketing</t>
        </is>
      </c>
    </row>
    <row r="23">
      <c r="A23" s="34" t="n">
        <v>13</v>
      </c>
      <c r="B23" s="34" t="inlineStr">
        <is>
          <t>7340404</t>
        </is>
      </c>
      <c r="C23" s="34" t="inlineStr">
        <is>
          <t>Quản trị nguồn nhân lực</t>
        </is>
      </c>
    </row>
    <row r="24">
      <c r="A24" s="34" t="n">
        <v>14</v>
      </c>
      <c r="B24" s="34" t="inlineStr">
        <is>
          <t>7340122</t>
        </is>
      </c>
      <c r="C24" s="34" t="inlineStr">
        <is>
          <t>Thương mại điện tử / Thương mại số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ftu.edu.vn/" r:id="rId2"/>
    <hyperlink xmlns:r="http://schemas.openxmlformats.org/officeDocument/2006/relationships" ref="B6" display="https://tuyensinh.ftu.edu.vn/ hoặc https://thongtintuyensinh.ft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Đại học Thương mại (TMU)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https://tmu.edu.vn/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https://tuyensinh.tmu.edu.vn/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ngành/chương trình chính quy 2026. Nguồn: tuyensinh.tmu.edu.vn (danh mục ngành 2026). Có các chương trình IPOP, chuẩn.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TM01</t>
        </is>
      </c>
      <c r="C11" s="34" t="inlineStr">
        <is>
          <t>Quản trị kinh doanh (Quản trị kinh doanh)</t>
        </is>
      </c>
    </row>
    <row r="12">
      <c r="A12" s="34" t="n">
        <v>2</v>
      </c>
      <c r="B12" s="34" t="inlineStr">
        <is>
          <t>TM02</t>
        </is>
      </c>
      <c r="C12" s="34" t="inlineStr">
        <is>
          <t>Quản trị kinh doanh (Quản trị kinh doanh - IPOP)</t>
        </is>
      </c>
    </row>
    <row r="13">
      <c r="A13" s="34" t="n">
        <v>3</v>
      </c>
      <c r="B13" s="34" t="inlineStr">
        <is>
          <t>TM03</t>
        </is>
      </c>
      <c r="C13" s="34" t="inlineStr">
        <is>
          <t>Quản trị kinh doanh (Khởi nghiệp và phát triển kinh doanh)</t>
        </is>
      </c>
    </row>
    <row r="14">
      <c r="A14" s="34" t="n">
        <v>4</v>
      </c>
      <c r="B14" s="34" t="inlineStr">
        <is>
          <t>TM04</t>
        </is>
      </c>
      <c r="C14" s="34" t="inlineStr">
        <is>
          <t>Quản trị khách sạn (Quản trị khách sạn)</t>
        </is>
      </c>
    </row>
    <row r="15">
      <c r="A15" s="34" t="n">
        <v>5</v>
      </c>
      <c r="B15" s="34" t="inlineStr">
        <is>
          <t>TM05</t>
        </is>
      </c>
      <c r="C15" s="34" t="inlineStr">
        <is>
          <t>Quản trị khách sạn (Quản trị khách sạn - IPOP)</t>
        </is>
      </c>
    </row>
    <row r="16">
      <c r="A16" s="34" t="n">
        <v>6</v>
      </c>
      <c r="B16" s="34" t="inlineStr">
        <is>
          <t>TM06</t>
        </is>
      </c>
      <c r="C16" s="34" t="inlineStr">
        <is>
          <t>Quản trị dịch vụ du lịch và lữ hành</t>
        </is>
      </c>
    </row>
    <row r="17">
      <c r="A17" s="34" t="n">
        <v>7</v>
      </c>
      <c r="B17" s="34" t="inlineStr">
        <is>
          <t>TM07</t>
        </is>
      </c>
      <c r="C17" s="34" t="inlineStr">
        <is>
          <t>Marketing (Marketing Thương mại)</t>
        </is>
      </c>
    </row>
    <row r="18">
      <c r="A18" s="34" t="n">
        <v>8</v>
      </c>
      <c r="B18" s="34" t="inlineStr">
        <is>
          <t>TM08</t>
        </is>
      </c>
      <c r="C18" s="34" t="inlineStr">
        <is>
          <t>Marketing (Marketing thương mại - IPOP)</t>
        </is>
      </c>
    </row>
    <row r="19">
      <c r="A19" s="34" t="n">
        <v>9</v>
      </c>
      <c r="B19" s="34" t="inlineStr">
        <is>
          <t>TM09</t>
        </is>
      </c>
      <c r="C19" s="34" t="inlineStr">
        <is>
          <t>Marketing (Marketing số)</t>
        </is>
      </c>
    </row>
    <row r="20">
      <c r="A20" s="34" t="n">
        <v>10</v>
      </c>
      <c r="B20" s="34" t="inlineStr">
        <is>
          <t>TM10</t>
        </is>
      </c>
      <c r="C20" s="34" t="inlineStr">
        <is>
          <t>Marketing (Quản trị Thương hiệu)</t>
        </is>
      </c>
    </row>
    <row r="21">
      <c r="A21" s="34" t="n">
        <v>11</v>
      </c>
      <c r="B21" s="34" t="inlineStr">
        <is>
          <t>TM11</t>
        </is>
      </c>
      <c r="C21" s="34" t="inlineStr">
        <is>
          <t>Marketing (Quản trị thương hiệu - IPOP)</t>
        </is>
      </c>
    </row>
    <row r="22">
      <c r="A22" s="34" t="n">
        <v>12</v>
      </c>
      <c r="B22" s="34" t="inlineStr">
        <is>
          <t>TM12</t>
        </is>
      </c>
      <c r="C22" s="34" t="inlineStr">
        <is>
          <t>Kế toán (Kế toán doanh nghiệp)</t>
        </is>
      </c>
    </row>
    <row r="23">
      <c r="A23" s="34" t="n">
        <v>13</v>
      </c>
      <c r="B23" s="34" t="inlineStr">
        <is>
          <t>TM13</t>
        </is>
      </c>
      <c r="C23" s="34" t="inlineStr">
        <is>
          <t>Kế toán (Kế toán tích hợp ICAEW CFAB - IPOP)</t>
        </is>
      </c>
    </row>
    <row r="24">
      <c r="A24" s="34" t="n">
        <v>14</v>
      </c>
      <c r="B24" s="34" t="inlineStr">
        <is>
          <t>TM14</t>
        </is>
      </c>
      <c r="C24" s="34" t="inlineStr">
        <is>
          <t>Kế toán (Kế toán công)</t>
        </is>
      </c>
    </row>
    <row r="25">
      <c r="A25" s="34" t="n">
        <v>15</v>
      </c>
      <c r="B25" s="34" t="inlineStr">
        <is>
          <t>TM15</t>
        </is>
      </c>
      <c r="C25" s="34" t="inlineStr">
        <is>
          <t>Kiểm toán (Kiểm toán)</t>
        </is>
      </c>
    </row>
    <row r="26">
      <c r="A26" s="34" t="n">
        <v>16</v>
      </c>
      <c r="B26" s="34" t="inlineStr">
        <is>
          <t>TM17</t>
        </is>
      </c>
      <c r="C26" s="34" t="inlineStr">
        <is>
          <t>Logistics và Quản lý chuỗi cung ứng</t>
        </is>
      </c>
    </row>
    <row r="27">
      <c r="A27" s="34" t="n">
        <v>17</v>
      </c>
      <c r="B27" s="34" t="inlineStr">
        <is>
          <t>TM18</t>
        </is>
      </c>
      <c r="C27" s="34" t="inlineStr">
        <is>
          <t>Logistics và Quản lý chuỗi cung ứng (Logistics và Xuất nhập khẩu - IPOP)</t>
        </is>
      </c>
    </row>
    <row r="28">
      <c r="A28" s="34" t="n">
        <v>18</v>
      </c>
      <c r="B28" s="34" t="inlineStr">
        <is>
          <t>TM19</t>
        </is>
      </c>
      <c r="C28" s="34" t="inlineStr">
        <is>
          <t>Kinh doanh quốc tế (Thương mại quốc tế)</t>
        </is>
      </c>
    </row>
    <row r="29">
      <c r="A29" s="34" t="n">
        <v>19</v>
      </c>
      <c r="B29" s="34" t="inlineStr">
        <is>
          <t>TM20</t>
        </is>
      </c>
      <c r="C29" s="34" t="inlineStr">
        <is>
          <t>Kinh doanh quốc tế (Thương mại quốc tế - IPOP)</t>
        </is>
      </c>
    </row>
    <row r="30">
      <c r="A30" s="34" t="n">
        <v>20</v>
      </c>
      <c r="B30" s="34" t="inlineStr">
        <is>
          <t>TM21</t>
        </is>
      </c>
      <c r="C30" s="34" t="inlineStr">
        <is>
          <t>Kinh tế quốc tế</t>
        </is>
      </c>
    </row>
    <row r="31">
      <c r="A31" s="34" t="n">
        <v>21</v>
      </c>
      <c r="B31" s="34" t="inlineStr">
        <is>
          <t>TM22</t>
        </is>
      </c>
      <c r="C31" s="34" t="inlineStr">
        <is>
          <t>Kinh tế (Quản lý kinh tế)</t>
        </is>
      </c>
    </row>
    <row r="32">
      <c r="A32" s="34" t="n">
        <v>22</v>
      </c>
      <c r="B32" s="34" t="inlineStr">
        <is>
          <t>TM24</t>
        </is>
      </c>
      <c r="C32" s="34" t="inlineStr">
        <is>
          <t>Tài chính - Ngân hàng (Tài chính - Ngân hàng thương mại)</t>
        </is>
      </c>
    </row>
    <row r="33">
      <c r="A33" s="34" t="n">
        <v>23</v>
      </c>
      <c r="B33" s="34" t="inlineStr">
        <is>
          <t>TM26</t>
        </is>
      </c>
      <c r="C33" s="34" t="inlineStr">
        <is>
          <t>Tài chính - Ngân hàng (Tài chính công)</t>
        </is>
      </c>
    </row>
    <row r="34">
      <c r="A34" s="34" t="n">
        <v>24</v>
      </c>
      <c r="B34" s="34" t="inlineStr">
        <is>
          <t>TM28</t>
        </is>
      </c>
      <c r="C34" s="34" t="inlineStr">
        <is>
          <t>Thương mại điện tử (Quản trị thương mại điện tử)</t>
        </is>
      </c>
    </row>
    <row r="35">
      <c r="A35" s="34" t="n">
        <v>25</v>
      </c>
      <c r="B35" s="34" t="inlineStr">
        <is>
          <t>TM30</t>
        </is>
      </c>
      <c r="C35" s="34" t="inlineStr">
        <is>
          <t>Thương mại điện tử (Kinh doanh số)</t>
        </is>
      </c>
    </row>
    <row r="36">
      <c r="A36" s="34" t="n">
        <v>26</v>
      </c>
      <c r="B36" s="34" t="inlineStr">
        <is>
          <t>TM33</t>
        </is>
      </c>
      <c r="C36" s="34" t="inlineStr">
        <is>
          <t>Ngôn ngữ Anh (Tiếng Anh thương mại)</t>
        </is>
      </c>
    </row>
    <row r="37">
      <c r="A37" s="34" t="n">
        <v>27</v>
      </c>
      <c r="B37" s="34" t="inlineStr">
        <is>
          <t>7480101</t>
        </is>
      </c>
      <c r="C37" s="34" t="inlineStr">
        <is>
          <t>Khoa học máy tính (Ứng dụng trí tuệ nhân tạo trong kinh doanh)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tmu.edu.vn/" r:id="rId2"/>
    <hyperlink xmlns:r="http://schemas.openxmlformats.org/officeDocument/2006/relationships" ref="B6" display="https://tuyensinh.tm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Luật Hà Nội (HLU)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https://hlu.edu.vn/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https://tuyensinh.hlu.edu.vn/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đào tạo đại học chính quy 2025 (Khóa 50). Nguồn: Quyết định 1650/QĐ-ĐHLHN ngày 12/6/2025 và tuyensinh.hlu.edu.vn. Cập nhật 10/2026. Năm 2026 dự kiến tương tự.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7380101</t>
        </is>
      </c>
      <c r="C11" s="34" t="inlineStr">
        <is>
          <t>Luật</t>
        </is>
      </c>
    </row>
    <row r="12">
      <c r="A12" s="34" t="n">
        <v>2</v>
      </c>
      <c r="B12" s="34" t="inlineStr">
        <is>
          <t>7380107</t>
        </is>
      </c>
      <c r="C12" s="34" t="inlineStr">
        <is>
          <t>Luật Kinh tế</t>
        </is>
      </c>
    </row>
    <row r="13">
      <c r="A13" s="34" t="n">
        <v>3</v>
      </c>
      <c r="B13" s="34" t="inlineStr">
        <is>
          <t>7380109</t>
        </is>
      </c>
      <c r="C13" s="34" t="inlineStr">
        <is>
          <t>Luật Thương mại quốc tế</t>
        </is>
      </c>
    </row>
    <row r="14">
      <c r="A14" s="34" t="n">
        <v>4</v>
      </c>
      <c r="B14" s="34" t="inlineStr">
        <is>
          <t>7220201</t>
        </is>
      </c>
      <c r="C14" s="34" t="inlineStr">
        <is>
          <t>Ngôn ngữ Anh</t>
        </is>
      </c>
    </row>
    <row r="15">
      <c r="A15" s="34" t="n">
        <v>5</v>
      </c>
      <c r="B15" s="34" t="inlineStr">
        <is>
          <t>7380101PH</t>
        </is>
      </c>
      <c r="C15" s="34" t="inlineStr">
        <is>
          <t>Luật (Phân hiệu Đắk Lắk)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lu.edu.vn/" r:id="rId2"/>
    <hyperlink xmlns:r="http://schemas.openxmlformats.org/officeDocument/2006/relationships" ref="B6" display="https://tuyensinh.hl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Khoa học Tự nhiên - ĐHQG Hà Nội (VNU-HUS)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https://hus.vnu.edu.vn/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https://tuyensinh.hus.vnu.edu.vn/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ngành/CTĐT chính quy 2026. Nguồn: tuyensinh.hus.vnu.edu.vn (điểm chuẩn 2026) và các nguồn chính thức ĐHQGHN.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QHT01</t>
        </is>
      </c>
      <c r="C11" s="34" t="inlineStr">
        <is>
          <t>Toán học</t>
        </is>
      </c>
    </row>
    <row r="12">
      <c r="A12" s="34" t="n">
        <v>2</v>
      </c>
      <c r="B12" s="34" t="inlineStr">
        <is>
          <t>QHT02</t>
        </is>
      </c>
      <c r="C12" s="34" t="inlineStr">
        <is>
          <t>Toán tin</t>
        </is>
      </c>
    </row>
    <row r="13">
      <c r="A13" s="34" t="n">
        <v>3</v>
      </c>
      <c r="B13" s="34" t="inlineStr">
        <is>
          <t>QHT03</t>
        </is>
      </c>
      <c r="C13" s="34" t="inlineStr">
        <is>
          <t>Vật lý học</t>
        </is>
      </c>
    </row>
    <row r="14">
      <c r="A14" s="34" t="n">
        <v>4</v>
      </c>
      <c r="B14" s="34" t="inlineStr">
        <is>
          <t>QHT04</t>
        </is>
      </c>
      <c r="C14" s="34" t="inlineStr">
        <is>
          <t>Khoa học vật liệu</t>
        </is>
      </c>
    </row>
    <row r="15">
      <c r="A15" s="34" t="n">
        <v>5</v>
      </c>
      <c r="B15" s="34" t="inlineStr">
        <is>
          <t>QHT05</t>
        </is>
      </c>
      <c r="C15" s="34" t="inlineStr">
        <is>
          <t>Công nghệ kỹ thuật hạt nhân</t>
        </is>
      </c>
    </row>
    <row r="16">
      <c r="A16" s="34" t="n">
        <v>6</v>
      </c>
      <c r="B16" s="34" t="inlineStr">
        <is>
          <t>QHT06</t>
        </is>
      </c>
      <c r="C16" s="34" t="inlineStr">
        <is>
          <t>Hóa học</t>
        </is>
      </c>
    </row>
    <row r="17">
      <c r="A17" s="34" t="n">
        <v>7</v>
      </c>
      <c r="B17" s="34" t="inlineStr">
        <is>
          <t>QHT07</t>
        </is>
      </c>
      <c r="C17" s="34" t="inlineStr">
        <is>
          <t>Công nghệ kỹ thuật hóa học</t>
        </is>
      </c>
    </row>
    <row r="18">
      <c r="A18" s="34" t="n">
        <v>8</v>
      </c>
      <c r="B18" s="34" t="inlineStr">
        <is>
          <t>QHT08</t>
        </is>
      </c>
      <c r="C18" s="34" t="inlineStr">
        <is>
          <t>Sinh học</t>
        </is>
      </c>
    </row>
    <row r="19">
      <c r="A19" s="34" t="n">
        <v>9</v>
      </c>
      <c r="B19" s="34" t="inlineStr">
        <is>
          <t>QHT09</t>
        </is>
      </c>
      <c r="C19" s="34" t="inlineStr">
        <is>
          <t>Công nghệ sinh học</t>
        </is>
      </c>
    </row>
    <row r="20">
      <c r="A20" s="34" t="n">
        <v>10</v>
      </c>
      <c r="B20" s="34" t="inlineStr">
        <is>
          <t>QHT10</t>
        </is>
      </c>
      <c r="C20" s="34" t="inlineStr">
        <is>
          <t>Địa lý tự nhiên</t>
        </is>
      </c>
    </row>
    <row r="21">
      <c r="A21" s="34" t="n">
        <v>11</v>
      </c>
      <c r="B21" s="34" t="inlineStr">
        <is>
          <t>QHT12</t>
        </is>
      </c>
      <c r="C21" s="34" t="inlineStr">
        <is>
          <t>Quản lý đất đai</t>
        </is>
      </c>
    </row>
    <row r="22">
      <c r="A22" s="34" t="n">
        <v>12</v>
      </c>
      <c r="B22" s="34" t="inlineStr">
        <is>
          <t>QHT13</t>
        </is>
      </c>
      <c r="C22" s="34" t="inlineStr">
        <is>
          <t>Khoa học môi trường</t>
        </is>
      </c>
    </row>
    <row r="23">
      <c r="A23" s="34" t="n">
        <v>13</v>
      </c>
      <c r="B23" s="34" t="inlineStr">
        <is>
          <t>QHT15</t>
        </is>
      </c>
      <c r="C23" s="34" t="inlineStr">
        <is>
          <t>Công nghệ kỹ thuật môi trường</t>
        </is>
      </c>
    </row>
    <row r="24">
      <c r="A24" s="34" t="n">
        <v>14</v>
      </c>
      <c r="B24" s="34" t="inlineStr">
        <is>
          <t>QHT16</t>
        </is>
      </c>
      <c r="C24" s="34" t="inlineStr">
        <is>
          <t>Khí tượng và khí hậu học</t>
        </is>
      </c>
    </row>
    <row r="25">
      <c r="A25" s="34" t="n">
        <v>15</v>
      </c>
      <c r="B25" s="34" t="inlineStr">
        <is>
          <t>QHT17</t>
        </is>
      </c>
      <c r="C25" s="34" t="inlineStr">
        <is>
          <t>Hải dương học</t>
        </is>
      </c>
    </row>
    <row r="26">
      <c r="A26" s="34" t="n">
        <v>16</v>
      </c>
      <c r="B26" s="34" t="inlineStr">
        <is>
          <t>QHT18</t>
        </is>
      </c>
      <c r="C26" s="34" t="inlineStr">
        <is>
          <t>Địa chất học</t>
        </is>
      </c>
    </row>
    <row r="27">
      <c r="A27" s="34" t="n">
        <v>17</v>
      </c>
      <c r="B27" s="34" t="inlineStr">
        <is>
          <t>QHT20</t>
        </is>
      </c>
      <c r="C27" s="34" t="inlineStr">
        <is>
          <t>Quản lý tài nguyên và môi trường</t>
        </is>
      </c>
    </row>
    <row r="28">
      <c r="A28" s="34" t="n">
        <v>18</v>
      </c>
      <c r="B28" s="34" t="inlineStr">
        <is>
          <t>QHT43</t>
        </is>
      </c>
      <c r="C28" s="34" t="inlineStr">
        <is>
          <t>Hóa dược</t>
        </is>
      </c>
    </row>
    <row r="29">
      <c r="A29" s="34" t="n">
        <v>19</v>
      </c>
      <c r="B29" s="34" t="inlineStr">
        <is>
          <t>QHT81</t>
        </is>
      </c>
      <c r="C29" s="34" t="inlineStr">
        <is>
          <t>Sinh dược học</t>
        </is>
      </c>
    </row>
    <row r="30">
      <c r="A30" s="34" t="n">
        <v>20</v>
      </c>
      <c r="B30" s="34" t="inlineStr">
        <is>
          <t>QHT82</t>
        </is>
      </c>
      <c r="C30" s="34" t="inlineStr">
        <is>
          <t>Môi trường, sức khỏe và an toàn</t>
        </is>
      </c>
    </row>
    <row r="31">
      <c r="A31" s="34" t="n">
        <v>21</v>
      </c>
      <c r="B31" s="34" t="inlineStr">
        <is>
          <t>QHT91</t>
        </is>
      </c>
      <c r="C31" s="34" t="inlineStr">
        <is>
          <t>Khoa học thông tin địa không gian</t>
        </is>
      </c>
    </row>
    <row r="32">
      <c r="A32" s="34" t="n">
        <v>22</v>
      </c>
      <c r="B32" s="34" t="inlineStr">
        <is>
          <t>QHT92</t>
        </is>
      </c>
      <c r="C32" s="34" t="inlineStr">
        <is>
          <t>Tài nguyên và môi trường nước</t>
        </is>
      </c>
    </row>
    <row r="33">
      <c r="A33" s="34" t="n">
        <v>23</v>
      </c>
      <c r="B33" s="34" t="inlineStr">
        <is>
          <t>QHT93</t>
        </is>
      </c>
      <c r="C33" s="34" t="inlineStr">
        <is>
          <t>Khoa học dữ liệu</t>
        </is>
      </c>
    </row>
    <row r="34">
      <c r="A34" s="34" t="n">
        <v>24</v>
      </c>
      <c r="B34" s="34" t="inlineStr">
        <is>
          <t>QHT94</t>
        </is>
      </c>
      <c r="C34" s="34" t="inlineStr">
        <is>
          <t>Kỹ thuật điện tử và tin học</t>
        </is>
      </c>
    </row>
    <row r="35">
      <c r="A35" s="34" t="n">
        <v>25</v>
      </c>
      <c r="B35" s="34" t="inlineStr">
        <is>
          <t>QHT95</t>
        </is>
      </c>
      <c r="C35" s="34" t="inlineStr">
        <is>
          <t>Quản lý phát triển đô thị và bất động sản</t>
        </is>
      </c>
    </row>
    <row r="36">
      <c r="A36" s="34" t="n">
        <v>26</v>
      </c>
      <c r="B36" s="34" t="inlineStr">
        <is>
          <t>QHT96</t>
        </is>
      </c>
      <c r="C36" s="34" t="inlineStr">
        <is>
          <t>Khoa học và công nghệ thực phẩm</t>
        </is>
      </c>
    </row>
    <row r="37">
      <c r="A37" s="34" t="n">
        <v>27</v>
      </c>
      <c r="B37" s="34" t="inlineStr">
        <is>
          <t>QHT98</t>
        </is>
      </c>
      <c r="C37" s="34" t="inlineStr">
        <is>
          <t>Khoa học máy tính và thông tin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us.vnu.edu.vn/" r:id="rId2"/>
    <hyperlink xmlns:r="http://schemas.openxmlformats.org/officeDocument/2006/relationships" ref="B6" display="https://tuyensinh.hus.vn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Công nghệ - ĐHQG Hà Nội (VNU-UET)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https://uet.vnu.edu.vn/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https://tuyensinh.uet.vnu.edu.vn/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uet.vnu.edu.vn (điểm chuẩn 2026 và danh mục ngành).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CN1</t>
        </is>
      </c>
      <c r="C11" s="34" t="inlineStr">
        <is>
          <t>Công nghệ thông tin</t>
        </is>
      </c>
    </row>
    <row r="12">
      <c r="A12" s="34" t="n">
        <v>2</v>
      </c>
      <c r="B12" s="34" t="inlineStr">
        <is>
          <t>CN2</t>
        </is>
      </c>
      <c r="C12" s="34" t="inlineStr">
        <is>
          <t>Kỹ thuật máy tính</t>
        </is>
      </c>
    </row>
    <row r="13">
      <c r="A13" s="34" t="n">
        <v>3</v>
      </c>
      <c r="B13" s="34" t="inlineStr">
        <is>
          <t>CN3</t>
        </is>
      </c>
      <c r="C13" s="34" t="inlineStr">
        <is>
          <t>Vật lý kỹ thuật</t>
        </is>
      </c>
    </row>
    <row r="14">
      <c r="A14" s="34" t="n">
        <v>4</v>
      </c>
      <c r="B14" s="34" t="inlineStr">
        <is>
          <t>CN4</t>
        </is>
      </c>
      <c r="C14" s="34" t="inlineStr">
        <is>
          <t>Cơ kỹ thuật</t>
        </is>
      </c>
    </row>
    <row r="15">
      <c r="A15" s="34" t="n">
        <v>5</v>
      </c>
      <c r="B15" s="34" t="inlineStr">
        <is>
          <t>CN5</t>
        </is>
      </c>
      <c r="C15" s="34" t="inlineStr">
        <is>
          <t>Công nghệ kỹ thuật xây dựng</t>
        </is>
      </c>
    </row>
    <row r="16">
      <c r="A16" s="34" t="n">
        <v>6</v>
      </c>
      <c r="B16" s="34" t="inlineStr">
        <is>
          <t>CN6</t>
        </is>
      </c>
      <c r="C16" s="34" t="inlineStr">
        <is>
          <t>Kỹ thuật cơ điện tử</t>
        </is>
      </c>
    </row>
    <row r="17">
      <c r="A17" s="34" t="n">
        <v>7</v>
      </c>
      <c r="B17" s="34" t="inlineStr">
        <is>
          <t>CN7</t>
        </is>
      </c>
      <c r="C17" s="34" t="inlineStr">
        <is>
          <t>Kỹ thuật không gian / Công nghệ hàng không vũ trụ</t>
        </is>
      </c>
    </row>
    <row r="18">
      <c r="A18" s="34" t="n">
        <v>8</v>
      </c>
      <c r="B18" s="34" t="inlineStr">
        <is>
          <t>CN8</t>
        </is>
      </c>
      <c r="C18" s="34" t="inlineStr">
        <is>
          <t>Khoa học máy tính</t>
        </is>
      </c>
    </row>
    <row r="19">
      <c r="A19" s="34" t="n">
        <v>9</v>
      </c>
      <c r="B19" s="34" t="inlineStr">
        <is>
          <t>CN9</t>
        </is>
      </c>
      <c r="C19" s="34" t="inlineStr">
        <is>
          <t>Kỹ thuật điện tử – viễn thông</t>
        </is>
      </c>
    </row>
    <row r="20">
      <c r="A20" s="34" t="n">
        <v>10</v>
      </c>
      <c r="B20" s="34" t="inlineStr">
        <is>
          <t>CN10</t>
        </is>
      </c>
      <c r="C20" s="34" t="inlineStr">
        <is>
          <t>Công nghệ nông nghiệp</t>
        </is>
      </c>
    </row>
    <row r="21">
      <c r="A21" s="34" t="n">
        <v>11</v>
      </c>
      <c r="B21" s="34" t="inlineStr">
        <is>
          <t>CN11</t>
        </is>
      </c>
      <c r="C21" s="34" t="inlineStr">
        <is>
          <t>Kỹ thuật điều khiển và tự động hoá</t>
        </is>
      </c>
    </row>
    <row r="22">
      <c r="A22" s="34" t="n">
        <v>12</v>
      </c>
      <c r="B22" s="34" t="inlineStr">
        <is>
          <t>CN12</t>
        </is>
      </c>
      <c r="C22" s="34" t="inlineStr">
        <is>
          <t>Trí tuệ nhân tạo</t>
        </is>
      </c>
    </row>
    <row r="23">
      <c r="A23" s="34" t="n">
        <v>13</v>
      </c>
      <c r="B23" s="34" t="inlineStr">
        <is>
          <t>CN13</t>
        </is>
      </c>
      <c r="C23" s="34" t="inlineStr">
        <is>
          <t>Kỹ thuật năng lượng</t>
        </is>
      </c>
    </row>
    <row r="24">
      <c r="A24" s="34" t="n">
        <v>14</v>
      </c>
      <c r="B24" s="34" t="inlineStr">
        <is>
          <t>CN14</t>
        </is>
      </c>
      <c r="C24" s="34" t="inlineStr">
        <is>
          <t>Hệ thống thông tin</t>
        </is>
      </c>
    </row>
    <row r="25">
      <c r="A25" s="34" t="n">
        <v>15</v>
      </c>
      <c r="B25" s="34" t="inlineStr">
        <is>
          <t>CN15</t>
        </is>
      </c>
      <c r="C25" s="34" t="inlineStr">
        <is>
          <t>Mạng máy tính và truyền thông dữ liệu</t>
        </is>
      </c>
    </row>
    <row r="26">
      <c r="A26" s="34" t="n">
        <v>16</v>
      </c>
      <c r="B26" s="34" t="inlineStr">
        <is>
          <t>CN17</t>
        </is>
      </c>
      <c r="C26" s="34" t="inlineStr">
        <is>
          <t>Kỹ thuật Robot</t>
        </is>
      </c>
    </row>
    <row r="27">
      <c r="A27" s="34" t="n">
        <v>17</v>
      </c>
      <c r="B27" s="34" t="inlineStr">
        <is>
          <t>CN18</t>
        </is>
      </c>
      <c r="C27" s="34" t="inlineStr">
        <is>
          <t>Thiết kế công nghiệp và Đồ họa</t>
        </is>
      </c>
    </row>
    <row r="28">
      <c r="A28" s="34" t="n">
        <v>18</v>
      </c>
      <c r="B28" s="34" t="inlineStr">
        <is>
          <t>CN19</t>
        </is>
      </c>
      <c r="C28" s="34" t="inlineStr">
        <is>
          <t>Kỹ thuật vật liệu / Công nghệ vật liệu</t>
        </is>
      </c>
    </row>
    <row r="29">
      <c r="A29" s="34" t="n">
        <v>19</v>
      </c>
      <c r="B29" s="34" t="inlineStr">
        <is>
          <t>CN20</t>
        </is>
      </c>
      <c r="C29" s="34" t="inlineStr">
        <is>
          <t>Khoa học dữ liệu</t>
        </is>
      </c>
    </row>
    <row r="30">
      <c r="A30" s="34" t="n">
        <v>20</v>
      </c>
      <c r="B30" s="34" t="inlineStr">
        <is>
          <t>CN21</t>
        </is>
      </c>
      <c r="C30" s="34" t="inlineStr">
        <is>
          <t>Công nghệ sinh học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uet.vnu.edu.vn/" r:id="rId2"/>
    <hyperlink xmlns:r="http://schemas.openxmlformats.org/officeDocument/2006/relationships" ref="B6" display="https://tuyensinh.uet.vn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Kinh tế - ĐHQG Hà Nội (VNU-UEB)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https://ueb.vnu.edu.vn/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https://tuyensinh.ueb.edu.vn/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đề án tuyển sinh UEB 2026, diemthi.tuyensinh247.com.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7310101</t>
        </is>
      </c>
      <c r="C11" s="34" t="inlineStr">
        <is>
          <t>Kinh tế</t>
        </is>
      </c>
    </row>
    <row r="12">
      <c r="A12" s="34" t="n">
        <v>2</v>
      </c>
      <c r="B12" s="34" t="inlineStr">
        <is>
          <t>7310105</t>
        </is>
      </c>
      <c r="C12" s="34" t="inlineStr">
        <is>
          <t>Kinh tế phát triển</t>
        </is>
      </c>
    </row>
    <row r="13">
      <c r="A13" s="34" t="n">
        <v>3</v>
      </c>
      <c r="B13" s="34" t="inlineStr">
        <is>
          <t>7310106</t>
        </is>
      </c>
      <c r="C13" s="34" t="inlineStr">
        <is>
          <t>Kinh tế quốc tế</t>
        </is>
      </c>
    </row>
    <row r="14">
      <c r="A14" s="34" t="n">
        <v>4</v>
      </c>
      <c r="B14" s="34" t="inlineStr">
        <is>
          <t>7340101</t>
        </is>
      </c>
      <c r="C14" s="34" t="inlineStr">
        <is>
          <t>Quản trị kinh doanh</t>
        </is>
      </c>
    </row>
    <row r="15">
      <c r="A15" s="34" t="n">
        <v>5</v>
      </c>
      <c r="B15" s="34" t="inlineStr">
        <is>
          <t>7340201</t>
        </is>
      </c>
      <c r="C15" s="34" t="inlineStr">
        <is>
          <t>Tài chính – Ngân hàng</t>
        </is>
      </c>
    </row>
    <row r="16">
      <c r="A16" s="34" t="n">
        <v>6</v>
      </c>
      <c r="B16" s="34" t="inlineStr">
        <is>
          <t>7340301</t>
        </is>
      </c>
      <c r="C16" s="34" t="inlineStr">
        <is>
          <t>Kế toán</t>
        </is>
      </c>
    </row>
    <row r="17">
      <c r="A17" s="34" t="n">
        <v>7</v>
      </c>
      <c r="B17" s="34" t="inlineStr">
        <is>
          <t>7340101.68</t>
        </is>
      </c>
      <c r="C17" s="34" t="inlineStr">
        <is>
          <t>Quản trị kinh doanh (ĐH Troy - Hoa Kỳ)</t>
        </is>
      </c>
    </row>
    <row r="18">
      <c r="A18" s="34" t="n">
        <v>8</v>
      </c>
      <c r="B18" s="34" t="inlineStr">
        <is>
          <t>7340101.98</t>
        </is>
      </c>
      <c r="C18" s="34" t="inlineStr">
        <is>
          <t>Quản trị kinh doanh (ĐH St. Francis - Hoa Kỳ)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ueb.vnu.edu.vn/" r:id="rId2"/>
    <hyperlink xmlns:r="http://schemas.openxmlformats.org/officeDocument/2006/relationships" ref="B6" display="https://tuyensinh.ueb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Khoa học Xã hội và Nhân văn - ĐHQG Hà Nội (VNU-USSH)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https://ussh.vnu.edu.vn/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https://tuyensinh.ussh.edu.vn/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2025-2026. Nguồn: điểm chuẩn 2026 và danh mục ngành USSH.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QHX01</t>
        </is>
      </c>
      <c r="C11" s="34" t="inlineStr">
        <is>
          <t>Báo chí</t>
        </is>
      </c>
    </row>
    <row r="12">
      <c r="A12" s="34" t="n">
        <v>2</v>
      </c>
      <c r="B12" s="34" t="inlineStr">
        <is>
          <t>QHX02</t>
        </is>
      </c>
      <c r="C12" s="34" t="inlineStr">
        <is>
          <t>Chính trị học</t>
        </is>
      </c>
    </row>
    <row r="13">
      <c r="A13" s="34" t="n">
        <v>3</v>
      </c>
      <c r="B13" s="34" t="inlineStr">
        <is>
          <t>QHX03</t>
        </is>
      </c>
      <c r="C13" s="34" t="inlineStr">
        <is>
          <t>Công tác xã hội</t>
        </is>
      </c>
    </row>
    <row r="14">
      <c r="A14" s="34" t="n">
        <v>4</v>
      </c>
      <c r="B14" s="34" t="inlineStr">
        <is>
          <t>QHX04</t>
        </is>
      </c>
      <c r="C14" s="34" t="inlineStr">
        <is>
          <t>Điện ảnh và nghệ thuật đại chúng</t>
        </is>
      </c>
    </row>
    <row r="15">
      <c r="A15" s="34" t="n">
        <v>5</v>
      </c>
      <c r="B15" s="34" t="inlineStr">
        <is>
          <t>QHX05</t>
        </is>
      </c>
      <c r="C15" s="34" t="inlineStr">
        <is>
          <t>Đông Nam Á học</t>
        </is>
      </c>
    </row>
    <row r="16">
      <c r="A16" s="34" t="n">
        <v>6</v>
      </c>
      <c r="B16" s="34" t="inlineStr">
        <is>
          <t>QHX06</t>
        </is>
      </c>
      <c r="C16" s="34" t="inlineStr">
        <is>
          <t>Đông phương học</t>
        </is>
      </c>
    </row>
    <row r="17">
      <c r="A17" s="34" t="n">
        <v>7</v>
      </c>
      <c r="B17" s="34" t="inlineStr">
        <is>
          <t>QHX07</t>
        </is>
      </c>
      <c r="C17" s="34" t="inlineStr">
        <is>
          <t>Hán Nôm</t>
        </is>
      </c>
    </row>
    <row r="18">
      <c r="A18" s="34" t="n">
        <v>8</v>
      </c>
      <c r="B18" s="34" t="inlineStr">
        <is>
          <t>QHX08</t>
        </is>
      </c>
      <c r="C18" s="34" t="inlineStr">
        <is>
          <t>Hàn Quốc học</t>
        </is>
      </c>
    </row>
    <row r="19">
      <c r="A19" s="34" t="n">
        <v>9</v>
      </c>
      <c r="B19" s="34" t="inlineStr">
        <is>
          <t>QHX09</t>
        </is>
      </c>
      <c r="C19" s="34" t="inlineStr">
        <is>
          <t>Khoa học quản lý</t>
        </is>
      </c>
    </row>
    <row r="20">
      <c r="A20" s="34" t="n">
        <v>10</v>
      </c>
      <c r="B20" s="34" t="inlineStr">
        <is>
          <t>QHX10</t>
        </is>
      </c>
      <c r="C20" s="34" t="inlineStr">
        <is>
          <t>Lịch sử</t>
        </is>
      </c>
    </row>
    <row r="21">
      <c r="A21" s="34" t="n">
        <v>11</v>
      </c>
      <c r="B21" s="34" t="inlineStr">
        <is>
          <t>QHX11</t>
        </is>
      </c>
      <c r="C21" s="34" t="inlineStr">
        <is>
          <t>Lưu trữ học</t>
        </is>
      </c>
    </row>
    <row r="22">
      <c r="A22" s="34" t="n">
        <v>12</v>
      </c>
      <c r="B22" s="34" t="inlineStr">
        <is>
          <t>QHX12</t>
        </is>
      </c>
      <c r="C22" s="34" t="inlineStr">
        <is>
          <t>Ngôn ngữ học</t>
        </is>
      </c>
    </row>
    <row r="23">
      <c r="A23" s="34" t="n">
        <v>13</v>
      </c>
      <c r="B23" s="34" t="inlineStr">
        <is>
          <t>QHX13</t>
        </is>
      </c>
      <c r="C23" s="34" t="inlineStr">
        <is>
          <t>Nhân học</t>
        </is>
      </c>
    </row>
    <row r="24">
      <c r="A24" s="34" t="n">
        <v>14</v>
      </c>
      <c r="B24" s="34" t="inlineStr">
        <is>
          <t>QHX14</t>
        </is>
      </c>
      <c r="C24" s="34" t="inlineStr">
        <is>
          <t>Nhật Bản học</t>
        </is>
      </c>
    </row>
    <row r="25">
      <c r="A25" s="34" t="n">
        <v>15</v>
      </c>
      <c r="B25" s="34" t="inlineStr">
        <is>
          <t>QHX15</t>
        </is>
      </c>
      <c r="C25" s="34" t="inlineStr">
        <is>
          <t>Quan hệ công chúng</t>
        </is>
      </c>
    </row>
    <row r="26">
      <c r="A26" s="34" t="n">
        <v>16</v>
      </c>
      <c r="B26" s="34" t="inlineStr">
        <is>
          <t>QHX16</t>
        </is>
      </c>
      <c r="C26" s="34" t="inlineStr">
        <is>
          <t>Quản lý thông tin</t>
        </is>
      </c>
    </row>
    <row r="27">
      <c r="A27" s="34" t="n">
        <v>17</v>
      </c>
      <c r="B27" s="34" t="inlineStr">
        <is>
          <t>QHX17</t>
        </is>
      </c>
      <c r="C27" s="34" t="inlineStr">
        <is>
          <t>Quản trị dịch vụ du lịch và lữ hành</t>
        </is>
      </c>
    </row>
    <row r="28">
      <c r="A28" s="34" t="n">
        <v>18</v>
      </c>
      <c r="B28" s="34" t="inlineStr">
        <is>
          <t>QHX18</t>
        </is>
      </c>
      <c r="C28" s="34" t="inlineStr">
        <is>
          <t>Quản trị khách sạn</t>
        </is>
      </c>
    </row>
    <row r="29">
      <c r="A29" s="34" t="n">
        <v>19</v>
      </c>
      <c r="B29" s="34" t="inlineStr">
        <is>
          <t>QHX19</t>
        </is>
      </c>
      <c r="C29" s="34" t="inlineStr">
        <is>
          <t>Quản trị văn phòng</t>
        </is>
      </c>
    </row>
    <row r="30">
      <c r="A30" s="34" t="n">
        <v>20</v>
      </c>
      <c r="B30" s="34" t="inlineStr">
        <is>
          <t>QHX20</t>
        </is>
      </c>
      <c r="C30" s="34" t="inlineStr">
        <is>
          <t>Quốc tế học</t>
        </is>
      </c>
    </row>
    <row r="31">
      <c r="A31" s="34" t="n">
        <v>21</v>
      </c>
      <c r="B31" s="34" t="inlineStr">
        <is>
          <t>QHX21</t>
        </is>
      </c>
      <c r="C31" s="34" t="inlineStr">
        <is>
          <t>Tâm lý học</t>
        </is>
      </c>
    </row>
    <row r="32">
      <c r="A32" s="34" t="n">
        <v>22</v>
      </c>
      <c r="B32" s="34" t="inlineStr">
        <is>
          <t>QHX22</t>
        </is>
      </c>
      <c r="C32" s="34" t="inlineStr">
        <is>
          <t>Thông tin - Thư viện</t>
        </is>
      </c>
    </row>
    <row r="33">
      <c r="A33" s="34" t="n">
        <v>23</v>
      </c>
      <c r="B33" s="34" t="inlineStr">
        <is>
          <t>QHX23</t>
        </is>
      </c>
      <c r="C33" s="34" t="inlineStr">
        <is>
          <t>Tôn giáo học</t>
        </is>
      </c>
    </row>
    <row r="34">
      <c r="A34" s="34" t="n">
        <v>24</v>
      </c>
      <c r="B34" s="34" t="inlineStr">
        <is>
          <t>QHX24</t>
        </is>
      </c>
      <c r="C34" s="34" t="inlineStr">
        <is>
          <t>Triết học</t>
        </is>
      </c>
    </row>
    <row r="35">
      <c r="A35" s="34" t="n">
        <v>25</v>
      </c>
      <c r="B35" s="34" t="inlineStr">
        <is>
          <t>QHX25</t>
        </is>
      </c>
      <c r="C35" s="34" t="inlineStr">
        <is>
          <t>Văn hóa học</t>
        </is>
      </c>
    </row>
    <row r="36">
      <c r="A36" s="34" t="n">
        <v>26</v>
      </c>
      <c r="B36" s="34" t="inlineStr">
        <is>
          <t>QHX26</t>
        </is>
      </c>
      <c r="C36" s="34" t="inlineStr">
        <is>
          <t>Văn học</t>
        </is>
      </c>
    </row>
    <row r="37">
      <c r="A37" s="34" t="n">
        <v>27</v>
      </c>
      <c r="B37" s="34" t="inlineStr">
        <is>
          <t>QHX27</t>
        </is>
      </c>
      <c r="C37" s="34" t="inlineStr">
        <is>
          <t>Việt Nam học</t>
        </is>
      </c>
    </row>
    <row r="38">
      <c r="A38" s="34" t="n">
        <v>28</v>
      </c>
      <c r="B38" s="34" t="inlineStr">
        <is>
          <t>QHX28</t>
        </is>
      </c>
      <c r="C38" s="34" t="inlineStr">
        <is>
          <t>Xã hội học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ussh.vnu.edu.vn/" r:id="rId2"/>
    <hyperlink xmlns:r="http://schemas.openxmlformats.org/officeDocument/2006/relationships" ref="B6" display="https://tuyensinh.ussh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Ngoại ngữ - ĐHQG Hà Nội (VNU-ULIS)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https://ulis.vnu.edu.vn/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https://tuyensinh.ulis.vnu.edu.vn/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2025-2026. Nguồn: đề án ULIS và các trang tuyển sinh.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7140231</t>
        </is>
      </c>
      <c r="C11" s="34" t="inlineStr">
        <is>
          <t>Sư phạm tiếng Anh</t>
        </is>
      </c>
    </row>
    <row r="12">
      <c r="A12" s="34" t="n">
        <v>2</v>
      </c>
      <c r="B12" s="34" t="inlineStr">
        <is>
          <t>7140234</t>
        </is>
      </c>
      <c r="C12" s="34" t="inlineStr">
        <is>
          <t>Sư phạm tiếng Trung Quốc</t>
        </is>
      </c>
    </row>
    <row r="13">
      <c r="A13" s="34" t="n">
        <v>3</v>
      </c>
      <c r="B13" s="34" t="inlineStr">
        <is>
          <t>7140235</t>
        </is>
      </c>
      <c r="C13" s="34" t="inlineStr">
        <is>
          <t>Sư phạm tiếng Đức</t>
        </is>
      </c>
    </row>
    <row r="14">
      <c r="A14" s="34" t="n">
        <v>4</v>
      </c>
      <c r="B14" s="34" t="inlineStr">
        <is>
          <t>7140236</t>
        </is>
      </c>
      <c r="C14" s="34" t="inlineStr">
        <is>
          <t>Sư phạm tiếng Nhật</t>
        </is>
      </c>
    </row>
    <row r="15">
      <c r="A15" s="34" t="n">
        <v>5</v>
      </c>
      <c r="B15" s="34" t="inlineStr">
        <is>
          <t>7140237</t>
        </is>
      </c>
      <c r="C15" s="34" t="inlineStr">
        <is>
          <t>Sư phạm tiếng Hàn Quốc</t>
        </is>
      </c>
    </row>
    <row r="16">
      <c r="A16" s="34" t="n">
        <v>6</v>
      </c>
      <c r="B16" s="34" t="inlineStr">
        <is>
          <t>7220101</t>
        </is>
      </c>
      <c r="C16" s="34" t="inlineStr">
        <is>
          <t>Tiếng Việt và Văn hóa Việt Nam</t>
        </is>
      </c>
    </row>
    <row r="17">
      <c r="A17" s="34" t="n">
        <v>7</v>
      </c>
      <c r="B17" s="34" t="inlineStr">
        <is>
          <t>7220201</t>
        </is>
      </c>
      <c r="C17" s="34" t="inlineStr">
        <is>
          <t>Ngôn ngữ Anh</t>
        </is>
      </c>
    </row>
    <row r="18">
      <c r="A18" s="34" t="n">
        <v>8</v>
      </c>
      <c r="B18" s="34" t="inlineStr">
        <is>
          <t>7220202</t>
        </is>
      </c>
      <c r="C18" s="34" t="inlineStr">
        <is>
          <t>Ngôn ngữ Nga</t>
        </is>
      </c>
    </row>
    <row r="19">
      <c r="A19" s="34" t="n">
        <v>9</v>
      </c>
      <c r="B19" s="34" t="inlineStr">
        <is>
          <t>7220203</t>
        </is>
      </c>
      <c r="C19" s="34" t="inlineStr">
        <is>
          <t>Ngôn ngữ Pháp</t>
        </is>
      </c>
    </row>
    <row r="20">
      <c r="A20" s="34" t="n">
        <v>10</v>
      </c>
      <c r="B20" s="34" t="inlineStr">
        <is>
          <t>7220204</t>
        </is>
      </c>
      <c r="C20" s="34" t="inlineStr">
        <is>
          <t>Ngôn ngữ Trung Quốc</t>
        </is>
      </c>
    </row>
    <row r="21">
      <c r="A21" s="34" t="n">
        <v>11</v>
      </c>
      <c r="B21" s="34" t="inlineStr">
        <is>
          <t>7220205</t>
        </is>
      </c>
      <c r="C21" s="34" t="inlineStr">
        <is>
          <t>Ngôn ngữ Đức</t>
        </is>
      </c>
    </row>
    <row r="22">
      <c r="A22" s="34" t="n">
        <v>12</v>
      </c>
      <c r="B22" s="34" t="inlineStr">
        <is>
          <t>7220209</t>
        </is>
      </c>
      <c r="C22" s="34" t="inlineStr">
        <is>
          <t>Ngôn ngữ Nhật</t>
        </is>
      </c>
    </row>
    <row r="23">
      <c r="A23" s="34" t="n">
        <v>13</v>
      </c>
      <c r="B23" s="34" t="inlineStr">
        <is>
          <t>7220210</t>
        </is>
      </c>
      <c r="C23" s="34" t="inlineStr">
        <is>
          <t>Ngôn ngữ Hàn Quốc</t>
        </is>
      </c>
    </row>
    <row r="24">
      <c r="A24" s="34" t="n">
        <v>14</v>
      </c>
      <c r="B24" s="34" t="inlineStr">
        <is>
          <t>7220211</t>
        </is>
      </c>
      <c r="C24" s="34" t="inlineStr">
        <is>
          <t>Ngôn ngữ Ả Rập</t>
        </is>
      </c>
    </row>
    <row r="25">
      <c r="A25" s="34" t="n">
        <v>15</v>
      </c>
      <c r="B25" s="34" t="inlineStr">
        <is>
          <t>7310101</t>
        </is>
      </c>
      <c r="C25" s="34" t="inlineStr">
        <is>
          <t>Kinh tế</t>
        </is>
      </c>
    </row>
    <row r="26">
      <c r="A26" s="34" t="n">
        <v>16</v>
      </c>
      <c r="B26" s="34" t="inlineStr">
        <is>
          <t>7320107</t>
        </is>
      </c>
      <c r="C26" s="34" t="inlineStr">
        <is>
          <t>Truyền thông quốc tế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ulis.vnu.edu.vn/" r:id="rId2"/>
    <hyperlink xmlns:r="http://schemas.openxmlformats.org/officeDocument/2006/relationships" ref="B6" display="https://tuyensinh.ulis.vn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Giáo dục - ĐHQG Hà Nội (VNU-UED)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https://education.vnu.edu.vn/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https://education.vnu.edu.vn/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các trang tuyển sinh UED/ĐHQGHN.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7140209</t>
        </is>
      </c>
      <c r="C11" s="34" t="inlineStr">
        <is>
          <t>Sư phạm Toán học</t>
        </is>
      </c>
    </row>
    <row r="12">
      <c r="A12" s="34" t="n">
        <v>2</v>
      </c>
      <c r="B12" s="34" t="inlineStr">
        <is>
          <t>7140211</t>
        </is>
      </c>
      <c r="C12" s="34" t="inlineStr">
        <is>
          <t>Sư phạm Vật lí</t>
        </is>
      </c>
    </row>
    <row r="13">
      <c r="A13" s="34" t="n">
        <v>3</v>
      </c>
      <c r="B13" s="34" t="inlineStr">
        <is>
          <t>7140212</t>
        </is>
      </c>
      <c r="C13" s="34" t="inlineStr">
        <is>
          <t>Sư phạm Hóa học</t>
        </is>
      </c>
    </row>
    <row r="14">
      <c r="A14" s="34" t="n">
        <v>4</v>
      </c>
      <c r="B14" s="34" t="inlineStr">
        <is>
          <t>7140213</t>
        </is>
      </c>
      <c r="C14" s="34" t="inlineStr">
        <is>
          <t>Sư phạm Sinh học</t>
        </is>
      </c>
    </row>
    <row r="15">
      <c r="A15" s="34" t="n">
        <v>5</v>
      </c>
      <c r="B15" s="34" t="inlineStr">
        <is>
          <t>7140247</t>
        </is>
      </c>
      <c r="C15" s="34" t="inlineStr">
        <is>
          <t>Sư phạm Khoa học Tự nhiên</t>
        </is>
      </c>
    </row>
    <row r="16">
      <c r="A16" s="34" t="n">
        <v>6</v>
      </c>
      <c r="B16" s="34" t="inlineStr">
        <is>
          <t>7140217</t>
        </is>
      </c>
      <c r="C16" s="34" t="inlineStr">
        <is>
          <t>Sư phạm Ngữ văn</t>
        </is>
      </c>
    </row>
    <row r="17">
      <c r="A17" s="34" t="n">
        <v>7</v>
      </c>
      <c r="B17" s="34" t="inlineStr">
        <is>
          <t>7140218</t>
        </is>
      </c>
      <c r="C17" s="34" t="inlineStr">
        <is>
          <t>Sư phạm Lịch sử</t>
        </is>
      </c>
    </row>
    <row r="18">
      <c r="A18" s="34" t="n">
        <v>8</v>
      </c>
      <c r="B18" s="34" t="inlineStr">
        <is>
          <t>7140249</t>
        </is>
      </c>
      <c r="C18" s="34" t="inlineStr">
        <is>
          <t>Sư phạm Lịch sử - Địa lý</t>
        </is>
      </c>
    </row>
    <row r="19">
      <c r="A19" s="34" t="n">
        <v>9</v>
      </c>
      <c r="B19" s="34" t="inlineStr">
        <is>
          <t>7140201</t>
        </is>
      </c>
      <c r="C19" s="34" t="inlineStr">
        <is>
          <t>Giáo dục Mầm non</t>
        </is>
      </c>
    </row>
    <row r="20">
      <c r="A20" s="34" t="n">
        <v>10</v>
      </c>
      <c r="B20" s="34" t="inlineStr">
        <is>
          <t>7140202</t>
        </is>
      </c>
      <c r="C20" s="34" t="inlineStr">
        <is>
          <t>Giáo dục Tiểu học</t>
        </is>
      </c>
    </row>
    <row r="21">
      <c r="A21" s="34" t="n">
        <v>11</v>
      </c>
      <c r="B21" s="34" t="inlineStr">
        <is>
          <t>7140102</t>
        </is>
      </c>
      <c r="C21" s="34" t="inlineStr">
        <is>
          <t>Khoa học giáo dục</t>
        </is>
      </c>
    </row>
    <row r="22">
      <c r="A22" s="34" t="n">
        <v>12</v>
      </c>
      <c r="B22" s="34" t="inlineStr">
        <is>
          <t>7140103</t>
        </is>
      </c>
      <c r="C22" s="34" t="inlineStr">
        <is>
          <t>Quản trị chất lượng giáo dục</t>
        </is>
      </c>
    </row>
    <row r="23">
      <c r="A23" s="34" t="n">
        <v>13</v>
      </c>
      <c r="B23" s="34" t="inlineStr">
        <is>
          <t>7140116</t>
        </is>
      </c>
      <c r="C23" s="34" t="inlineStr">
        <is>
          <t>Quản trị công nghệ giáo dục</t>
        </is>
      </c>
    </row>
    <row r="24">
      <c r="A24" s="34" t="n">
        <v>14</v>
      </c>
      <c r="B24" s="34" t="inlineStr">
        <is>
          <t>7140117</t>
        </is>
      </c>
      <c r="C24" s="34" t="inlineStr">
        <is>
          <t>Quản trị trường học</t>
        </is>
      </c>
    </row>
    <row r="25">
      <c r="A25" s="34" t="n">
        <v>15</v>
      </c>
      <c r="B25" s="34" t="inlineStr">
        <is>
          <t>7310401</t>
        </is>
      </c>
      <c r="C25" s="34" t="inlineStr">
        <is>
          <t>Tâm lý học</t>
        </is>
      </c>
    </row>
    <row r="26">
      <c r="A26" s="34" t="n">
        <v>16</v>
      </c>
      <c r="B26" s="34" t="inlineStr">
        <is>
          <t>7310402</t>
        </is>
      </c>
      <c r="C26" s="34" t="inlineStr">
        <is>
          <t>Tham vấn học đường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education.vnu.edu.vn/" r:id="rId2"/>
    <hyperlink xmlns:r="http://schemas.openxmlformats.org/officeDocument/2006/relationships" ref="B6" display="https://education.vn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Đại học Xây dựng Hà Nội (HUCE)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https://huce.edu.vn/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https://tuyensinh.huce.edu.vn/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ngành/chuyên ngành chính quy 2026 (từ bảng điểm chuẩn). Nguồn: thông báo điểm chuẩn HUCE 2026.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XDA01</t>
        </is>
      </c>
      <c r="C11" s="34" t="inlineStr">
        <is>
          <t>Kiến trúc</t>
        </is>
      </c>
    </row>
    <row r="12">
      <c r="A12" s="34" t="n">
        <v>2</v>
      </c>
      <c r="B12" s="34" t="inlineStr">
        <is>
          <t>XDA02</t>
        </is>
      </c>
      <c r="C12" s="34" t="inlineStr">
        <is>
          <t>Kiến trúc / Kiến trúc công nghệ</t>
        </is>
      </c>
    </row>
    <row r="13">
      <c r="A13" s="34" t="n">
        <v>3</v>
      </c>
      <c r="B13" s="34" t="inlineStr">
        <is>
          <t>XDA03</t>
        </is>
      </c>
      <c r="C13" s="34" t="inlineStr">
        <is>
          <t>Kiến trúc cảnh quan</t>
        </is>
      </c>
    </row>
    <row r="14">
      <c r="A14" s="34" t="n">
        <v>4</v>
      </c>
      <c r="B14" s="34" t="inlineStr">
        <is>
          <t>XDA04</t>
        </is>
      </c>
      <c r="C14" s="34" t="inlineStr">
        <is>
          <t>Kiến trúc nội thất</t>
        </is>
      </c>
    </row>
    <row r="15">
      <c r="A15" s="34" t="n">
        <v>5</v>
      </c>
      <c r="B15" s="34" t="inlineStr">
        <is>
          <t>XDA05</t>
        </is>
      </c>
      <c r="C15" s="34" t="inlineStr">
        <is>
          <t>Quy hoạch vùng và đô thị</t>
        </is>
      </c>
    </row>
    <row r="16">
      <c r="A16" s="34" t="n">
        <v>6</v>
      </c>
      <c r="B16" s="34" t="inlineStr">
        <is>
          <t>XDA06</t>
        </is>
      </c>
      <c r="C16" s="34" t="inlineStr">
        <is>
          <t>Mỹ thuật đô thị</t>
        </is>
      </c>
    </row>
    <row r="17">
      <c r="A17" s="34" t="n">
        <v>7</v>
      </c>
      <c r="B17" s="34" t="inlineStr">
        <is>
          <t>XDA07</t>
        </is>
      </c>
      <c r="C17" s="34" t="inlineStr">
        <is>
          <t>Kỹ thuật xây dựng</t>
        </is>
      </c>
    </row>
    <row r="18">
      <c r="A18" s="34" t="n">
        <v>8</v>
      </c>
      <c r="B18" s="34" t="inlineStr">
        <is>
          <t>XDA08</t>
        </is>
      </c>
      <c r="C18" s="34" t="inlineStr">
        <is>
          <t>Kỹ thuật xây dựng / Xây dựng dân dụng và công nghiệp</t>
        </is>
      </c>
    </row>
    <row r="19">
      <c r="A19" s="34" t="n">
        <v>9</v>
      </c>
      <c r="B19" s="34" t="inlineStr">
        <is>
          <t>XDA09</t>
        </is>
      </c>
      <c r="C19" s="34" t="inlineStr">
        <is>
          <t>Kỹ thuật xây dựng / Hệ thống kỹ thuật trong công trình</t>
        </is>
      </c>
    </row>
    <row r="20">
      <c r="A20" s="34" t="n">
        <v>10</v>
      </c>
      <c r="B20" s="34" t="inlineStr">
        <is>
          <t>XDA10</t>
        </is>
      </c>
      <c r="C20" s="34" t="inlineStr">
        <is>
          <t>Kỹ thuật xây dựng / Tin học xây dựng</t>
        </is>
      </c>
    </row>
    <row r="21">
      <c r="A21" s="34" t="n">
        <v>11</v>
      </c>
      <c r="B21" s="34" t="inlineStr">
        <is>
          <t>XDA11</t>
        </is>
      </c>
      <c r="C21" s="34" t="inlineStr">
        <is>
          <t>Kỹ thuật xây dựng / Kỹ thuật công trình biển</t>
        </is>
      </c>
    </row>
    <row r="22">
      <c r="A22" s="34" t="n">
        <v>12</v>
      </c>
      <c r="B22" s="34" t="inlineStr">
        <is>
          <t>XDA12</t>
        </is>
      </c>
      <c r="C22" s="34" t="inlineStr">
        <is>
          <t>Kỹ thuật xây dựng công trình thủy</t>
        </is>
      </c>
    </row>
    <row r="23">
      <c r="A23" s="34" t="n">
        <v>13</v>
      </c>
      <c r="B23" s="34" t="inlineStr">
        <is>
          <t>XDA13</t>
        </is>
      </c>
      <c r="C23" s="34" t="inlineStr">
        <is>
          <t>Kỹ thuật xây dựng công trình Giao thông / Xây dựng Cầu đường</t>
        </is>
      </c>
    </row>
    <row r="24">
      <c r="A24" s="34" t="n">
        <v>14</v>
      </c>
      <c r="B24" s="34" t="inlineStr">
        <is>
          <t>XDA14</t>
        </is>
      </c>
      <c r="C24" s="34" t="inlineStr">
        <is>
          <t>Kỹ thuật xây dựng công trình giao thông / Đường sắt tốc độ cao và đường sắt đô thị</t>
        </is>
      </c>
    </row>
    <row r="25">
      <c r="A25" s="34" t="n">
        <v>15</v>
      </c>
      <c r="B25" s="34" t="inlineStr">
        <is>
          <t>XDA15</t>
        </is>
      </c>
      <c r="C25" s="34" t="inlineStr">
        <is>
          <t>Kỹ thuật Cấp thoát nước / Kỹ thuật nước - Môi trường nước</t>
        </is>
      </c>
    </row>
    <row r="26">
      <c r="A26" s="34" t="n">
        <v>16</v>
      </c>
      <c r="B26" s="34" t="inlineStr">
        <is>
          <t>XDA16</t>
        </is>
      </c>
      <c r="C26" s="34" t="inlineStr">
        <is>
          <t>Kinh tế xây dựng</t>
        </is>
      </c>
    </row>
    <row r="27">
      <c r="A27" s="34" t="n">
        <v>17</v>
      </c>
      <c r="B27" s="34" t="inlineStr">
        <is>
          <t>XDA17</t>
        </is>
      </c>
      <c r="C27" s="34" t="inlineStr">
        <is>
          <t>Quản lý xây dựng / Kinh tế và quản lý đô thị</t>
        </is>
      </c>
    </row>
    <row r="28">
      <c r="A28" s="34" t="n">
        <v>18</v>
      </c>
      <c r="B28" s="34" t="inlineStr">
        <is>
          <t>XDA18</t>
        </is>
      </c>
      <c r="C28" s="34" t="inlineStr">
        <is>
          <t>Quản lý xây dựng / Kinh tế và quản lý bất động sản</t>
        </is>
      </c>
    </row>
    <row r="29">
      <c r="A29" s="34" t="n">
        <v>19</v>
      </c>
      <c r="B29" s="34" t="inlineStr">
        <is>
          <t>XDA19</t>
        </is>
      </c>
      <c r="C29" s="34" t="inlineStr">
        <is>
          <t>Quản lý xây dựng / Quản lý hạ tầng, đất đai đô thị</t>
        </is>
      </c>
    </row>
    <row r="30">
      <c r="A30" s="34" t="n">
        <v>20</v>
      </c>
      <c r="B30" s="34" t="inlineStr">
        <is>
          <t>XDA20</t>
        </is>
      </c>
      <c r="C30" s="34" t="inlineStr">
        <is>
          <t>Quản lý xây dựng / Kiểm toán đầu tư xây dựng</t>
        </is>
      </c>
    </row>
    <row r="31">
      <c r="A31" s="34" t="n">
        <v>21</v>
      </c>
      <c r="B31" s="34" t="inlineStr">
        <is>
          <t>XDA21</t>
        </is>
      </c>
      <c r="C31" s="34" t="inlineStr">
        <is>
          <t>Công nghệ kỹ thuật xây dựng</t>
        </is>
      </c>
    </row>
    <row r="32">
      <c r="A32" s="34" t="n">
        <v>22</v>
      </c>
      <c r="B32" s="34" t="inlineStr">
        <is>
          <t>XDA22</t>
        </is>
      </c>
      <c r="C32" s="34" t="inlineStr">
        <is>
          <t>Công nghệ kỹ thuật vật liệu xây dựng</t>
        </is>
      </c>
    </row>
    <row r="33">
      <c r="A33" s="34" t="n">
        <v>23</v>
      </c>
      <c r="B33" s="34" t="inlineStr">
        <is>
          <t>XDA23</t>
        </is>
      </c>
      <c r="C33" s="34" t="inlineStr">
        <is>
          <t>Logistics và Quản lý chuỗi cung ứng</t>
        </is>
      </c>
    </row>
    <row r="34">
      <c r="A34" s="34" t="n">
        <v>24</v>
      </c>
      <c r="B34" s="34" t="inlineStr">
        <is>
          <t>XDA35</t>
        </is>
      </c>
      <c r="C34" s="34" t="inlineStr">
        <is>
          <t>Kỹ thuật cơ điện tử</t>
        </is>
      </c>
    </row>
    <row r="35">
      <c r="A35" s="34" t="n">
        <v>25</v>
      </c>
      <c r="B35" s="34" t="inlineStr">
        <is>
          <t>XDA36</t>
        </is>
      </c>
      <c r="C35" s="34" t="inlineStr">
        <is>
          <t>Kỹ thuật điện</t>
        </is>
      </c>
    </row>
    <row r="36">
      <c r="A36" s="34" t="n">
        <v>26</v>
      </c>
      <c r="B36" s="34" t="inlineStr">
        <is>
          <t>XDA37</t>
        </is>
      </c>
      <c r="C36" s="34" t="inlineStr">
        <is>
          <t>Kỹ thuật điều khiển và tự động hóa</t>
        </is>
      </c>
    </row>
    <row r="37">
      <c r="A37" s="34" t="n">
        <v>27</v>
      </c>
      <c r="B37" s="34" t="inlineStr">
        <is>
          <t>XDA38</t>
        </is>
      </c>
      <c r="C37" s="34" t="inlineStr">
        <is>
          <t>Kỹ thuật vật liệu</t>
        </is>
      </c>
    </row>
    <row r="38">
      <c r="A38" s="34" t="n">
        <v>28</v>
      </c>
      <c r="B38" s="34" t="inlineStr">
        <is>
          <t>XDA39</t>
        </is>
      </c>
      <c r="C38" s="34" t="inlineStr">
        <is>
          <t>Kỹ thuật Môi trường</t>
        </is>
      </c>
    </row>
    <row r="39">
      <c r="A39" s="34" t="n">
        <v>29</v>
      </c>
      <c r="B39" s="34" t="inlineStr">
        <is>
          <t>XDA40</t>
        </is>
      </c>
      <c r="C39" s="34" t="inlineStr">
        <is>
          <t>Quản lý dự án</t>
        </is>
      </c>
    </row>
    <row r="40">
      <c r="A40" s="34" t="n">
        <v>30</v>
      </c>
      <c r="B40" s="34" t="inlineStr">
        <is>
          <t>XDA41</t>
        </is>
      </c>
      <c r="C40" s="34" t="inlineStr">
        <is>
          <t>Nghệ thuật và thiết kế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uce.edu.vn/" r:id="rId2"/>
    <hyperlink xmlns:r="http://schemas.openxmlformats.org/officeDocument/2006/relationships" ref="B6" display="https://tuyensinh.huce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Kiến trúc Hà Nội (HAU)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https://hau.edu.vn/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https://tuyensinh.hau.edu.vn/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ngành/chuyên ngành chính quy 2026. Nguồn: thông báo điểm chuẩn HAU 2026 và danh mục ngành.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7580101</t>
        </is>
      </c>
      <c r="C11" s="34" t="inlineStr">
        <is>
          <t>Kiến trúc</t>
        </is>
      </c>
    </row>
    <row r="12">
      <c r="A12" s="34" t="n">
        <v>2</v>
      </c>
      <c r="B12" s="34" t="inlineStr">
        <is>
          <t>7580101_1</t>
        </is>
      </c>
      <c r="C12" s="34" t="inlineStr">
        <is>
          <t>Kiến trúc (Chương trình tiên tiến)</t>
        </is>
      </c>
    </row>
    <row r="13">
      <c r="A13" s="34" t="n">
        <v>3</v>
      </c>
      <c r="B13" s="34" t="inlineStr">
        <is>
          <t>7580102</t>
        </is>
      </c>
      <c r="C13" s="34" t="inlineStr">
        <is>
          <t>Kiến trúc cảnh quan</t>
        </is>
      </c>
    </row>
    <row r="14">
      <c r="A14" s="34" t="n">
        <v>4</v>
      </c>
      <c r="B14" s="34" t="inlineStr">
        <is>
          <t>7580105</t>
        </is>
      </c>
      <c r="C14" s="34" t="inlineStr">
        <is>
          <t>Quy hoạch vùng và đô thị</t>
        </is>
      </c>
    </row>
    <row r="15">
      <c r="A15" s="34" t="n">
        <v>5</v>
      </c>
      <c r="B15" s="34" t="inlineStr">
        <is>
          <t>7580105_1</t>
        </is>
      </c>
      <c r="C15" s="34" t="inlineStr">
        <is>
          <t>Quy hoạch vùng và đô thị (Thiết kế đô thị)</t>
        </is>
      </c>
    </row>
    <row r="16">
      <c r="A16" s="34" t="n">
        <v>6</v>
      </c>
      <c r="B16" s="34" t="inlineStr">
        <is>
          <t>7210105</t>
        </is>
      </c>
      <c r="C16" s="34" t="inlineStr">
        <is>
          <t>Điêu khắc</t>
        </is>
      </c>
    </row>
    <row r="17">
      <c r="A17" s="34" t="n">
        <v>7</v>
      </c>
      <c r="B17" s="34" t="inlineStr">
        <is>
          <t>7210105_1</t>
        </is>
      </c>
      <c r="C17" s="34" t="inlineStr">
        <is>
          <t>Mỹ thuật đô thị</t>
        </is>
      </c>
    </row>
    <row r="18">
      <c r="A18" s="34" t="n">
        <v>8</v>
      </c>
      <c r="B18" s="34" t="inlineStr">
        <is>
          <t>7580210</t>
        </is>
      </c>
      <c r="C18" s="34" t="inlineStr">
        <is>
          <t>Kỹ thuật cơ sở hạ tầng (Hạ tầng đô thị)</t>
        </is>
      </c>
    </row>
    <row r="19">
      <c r="A19" s="34" t="n">
        <v>9</v>
      </c>
      <c r="B19" s="34" t="inlineStr">
        <is>
          <t>7580210_1</t>
        </is>
      </c>
      <c r="C19" s="34" t="inlineStr">
        <is>
          <t>Kỹ thuật cơ sở hạ tầng (Môi trường đô thị)</t>
        </is>
      </c>
    </row>
    <row r="20">
      <c r="A20" s="34" t="n">
        <v>10</v>
      </c>
      <c r="B20" s="34" t="inlineStr">
        <is>
          <t>7580210_2</t>
        </is>
      </c>
      <c r="C20" s="34" t="inlineStr">
        <is>
          <t>Kỹ thuật cơ sở hạ tầng (Công nghệ cơ điện công trình)</t>
        </is>
      </c>
    </row>
    <row r="21">
      <c r="A21" s="34" t="n">
        <v>11</v>
      </c>
      <c r="B21" s="34" t="inlineStr">
        <is>
          <t>7580213</t>
        </is>
      </c>
      <c r="C21" s="34" t="inlineStr">
        <is>
          <t>Kỹ thuật cấp thoát nước</t>
        </is>
      </c>
    </row>
    <row r="22">
      <c r="A22" s="34" t="n">
        <v>12</v>
      </c>
      <c r="B22" s="34" t="inlineStr">
        <is>
          <t>7210403</t>
        </is>
      </c>
      <c r="C22" s="34" t="inlineStr">
        <is>
          <t>Thiết kế đồ họa</t>
        </is>
      </c>
    </row>
    <row r="23">
      <c r="A23" s="34" t="n">
        <v>13</v>
      </c>
      <c r="B23" s="34" t="inlineStr">
        <is>
          <t>7210403_1</t>
        </is>
      </c>
      <c r="C23" s="34" t="inlineStr">
        <is>
          <t>Nghệ thuật số</t>
        </is>
      </c>
    </row>
    <row r="24">
      <c r="A24" s="34" t="n">
        <v>14</v>
      </c>
      <c r="B24" s="34" t="inlineStr">
        <is>
          <t>7210404</t>
        </is>
      </c>
      <c r="C24" s="34" t="inlineStr">
        <is>
          <t>Thiết kế thời trang</t>
        </is>
      </c>
    </row>
    <row r="25">
      <c r="A25" s="34" t="n">
        <v>15</v>
      </c>
      <c r="B25" s="34" t="inlineStr">
        <is>
          <t>7580108</t>
        </is>
      </c>
      <c r="C25" s="34" t="inlineStr">
        <is>
          <t>Thiết kế nội thất</t>
        </is>
      </c>
    </row>
    <row r="26">
      <c r="A26" s="34" t="n">
        <v>16</v>
      </c>
      <c r="B26" s="34" t="inlineStr">
        <is>
          <t>7580201</t>
        </is>
      </c>
      <c r="C26" s="34" t="inlineStr">
        <is>
          <t>Kỹ thuật xây dựng (Xây dựng dân dụng và công nghiệp)</t>
        </is>
      </c>
    </row>
    <row r="27">
      <c r="A27" s="34" t="n">
        <v>17</v>
      </c>
      <c r="B27" s="34" t="inlineStr">
        <is>
          <t>7580201_1</t>
        </is>
      </c>
      <c r="C27" s="34" t="inlineStr">
        <is>
          <t>Kỹ thuật xây dựng (Xây dựng công trình ngầm đô thị)</t>
        </is>
      </c>
    </row>
    <row r="28">
      <c r="A28" s="34" t="n">
        <v>18</v>
      </c>
      <c r="B28" s="34" t="inlineStr">
        <is>
          <t>7580201_2</t>
        </is>
      </c>
      <c r="C28" s="34" t="inlineStr">
        <is>
          <t>Kỹ thuật xây dựng (Quản lý dự án xây dựng)</t>
        </is>
      </c>
    </row>
    <row r="29">
      <c r="A29" s="34" t="n">
        <v>19</v>
      </c>
      <c r="B29" s="34" t="inlineStr">
        <is>
          <t>7510105</t>
        </is>
      </c>
      <c r="C29" s="34" t="inlineStr">
        <is>
          <t>Công nghệ kỹ thuật vật liệu xây dựng</t>
        </is>
      </c>
    </row>
    <row r="30">
      <c r="A30" s="34" t="n">
        <v>20</v>
      </c>
      <c r="B30" s="34" t="inlineStr">
        <is>
          <t>7580301</t>
        </is>
      </c>
      <c r="C30" s="34" t="inlineStr">
        <is>
          <t>Kinh tế xây dựng</t>
        </is>
      </c>
    </row>
    <row r="31">
      <c r="A31" s="34" t="n">
        <v>21</v>
      </c>
      <c r="B31" s="34" t="inlineStr">
        <is>
          <t>7580302</t>
        </is>
      </c>
      <c r="C31" s="34" t="inlineStr">
        <is>
          <t>Quản lý xây dựng</t>
        </is>
      </c>
    </row>
    <row r="32">
      <c r="A32" s="34" t="n">
        <v>22</v>
      </c>
      <c r="B32" s="34" t="inlineStr">
        <is>
          <t>7580302_1</t>
        </is>
      </c>
      <c r="C32" s="34" t="inlineStr">
        <is>
          <t>Quản lý xây dựng (Quản lý bất động sản)</t>
        </is>
      </c>
    </row>
    <row r="33">
      <c r="A33" s="34" t="n">
        <v>23</v>
      </c>
      <c r="B33" s="34" t="inlineStr">
        <is>
          <t>7580302_2</t>
        </is>
      </c>
      <c r="C33" s="34" t="inlineStr">
        <is>
          <t>Quản lý xây dựng (Quản lý vận tải và Logistics)</t>
        </is>
      </c>
    </row>
    <row r="34">
      <c r="A34" s="34" t="n">
        <v>24</v>
      </c>
      <c r="B34" s="34" t="inlineStr">
        <is>
          <t>7480201</t>
        </is>
      </c>
      <c r="C34" s="34" t="inlineStr">
        <is>
          <t>Công nghệ thông tin</t>
        </is>
      </c>
    </row>
    <row r="35">
      <c r="A35" s="34" t="n">
        <v>25</v>
      </c>
      <c r="B35" s="34" t="inlineStr">
        <is>
          <t>7480201_1</t>
        </is>
      </c>
      <c r="C35" s="34" t="inlineStr">
        <is>
          <t>Công nghệ thông tin (Công nghệ đa phương tiện)</t>
        </is>
      </c>
    </row>
    <row r="36">
      <c r="A36" s="34" t="n">
        <v>26</v>
      </c>
      <c r="B36" s="34" t="inlineStr">
        <is>
          <t>7480201_2</t>
        </is>
      </c>
      <c r="C36" s="34" t="inlineStr">
        <is>
          <t>Công nghệ game</t>
        </is>
      </c>
    </row>
    <row r="37">
      <c r="A37" s="34" t="n">
        <v>27</v>
      </c>
      <c r="B37" s="34" t="inlineStr">
        <is>
          <t>7310104</t>
        </is>
      </c>
      <c r="C37" s="34" t="inlineStr">
        <is>
          <t>Kinh tế đầu tư</t>
        </is>
      </c>
    </row>
    <row r="38">
      <c r="A38" s="34" t="n">
        <v>28</v>
      </c>
      <c r="B38" s="34" t="inlineStr">
        <is>
          <t>7310105</t>
        </is>
      </c>
      <c r="C38" s="34" t="inlineStr">
        <is>
          <t>Kinh tế phát triển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au.edu.vn/" r:id="rId2"/>
    <hyperlink xmlns:r="http://schemas.openxmlformats.org/officeDocument/2006/relationships" ref="B6" display="https://tuyensinh.ha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Thủy lợi (TLU)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https://tlu.edu.vn/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https://tuyensinh.tlu.edu.vn/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đề án và danh mục ngành TLU.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TLA101</t>
        </is>
      </c>
      <c r="C11" s="34" t="inlineStr">
        <is>
          <t>Kỹ thuật xây dựng công trình thủy</t>
        </is>
      </c>
    </row>
    <row r="12">
      <c r="A12" s="34" t="n">
        <v>2</v>
      </c>
      <c r="B12" s="34" t="inlineStr">
        <is>
          <t>TLA102</t>
        </is>
      </c>
      <c r="C12" s="34" t="inlineStr">
        <is>
          <t>Kỹ thuật tài nguyên nước</t>
        </is>
      </c>
    </row>
    <row r="13">
      <c r="A13" s="34" t="n">
        <v>3</v>
      </c>
      <c r="B13" s="34" t="inlineStr">
        <is>
          <t>TLA103</t>
        </is>
      </c>
      <c r="C13" s="34" t="inlineStr">
        <is>
          <t>Tài nguyên nước và môi trường (Thủy văn học)</t>
        </is>
      </c>
    </row>
    <row r="14">
      <c r="A14" s="34" t="n">
        <v>4</v>
      </c>
      <c r="B14" s="34" t="inlineStr">
        <is>
          <t>TLA104</t>
        </is>
      </c>
      <c r="C14" s="34" t="inlineStr">
        <is>
          <t>Kỹ thuật xây dựng dân dụng và công nghiệp</t>
        </is>
      </c>
    </row>
    <row r="15">
      <c r="A15" s="34" t="n">
        <v>5</v>
      </c>
      <c r="B15" s="34" t="inlineStr">
        <is>
          <t>TLA105</t>
        </is>
      </c>
      <c r="C15" s="34" t="inlineStr">
        <is>
          <t>Kỹ thuật cơ khí</t>
        </is>
      </c>
    </row>
    <row r="16">
      <c r="A16" s="34" t="n">
        <v>6</v>
      </c>
      <c r="B16" s="34" t="inlineStr">
        <is>
          <t>TLA106</t>
        </is>
      </c>
      <c r="C16" s="34" t="inlineStr">
        <is>
          <t>Công nghệ thông tin</t>
        </is>
      </c>
    </row>
    <row r="17">
      <c r="A17" s="34" t="n">
        <v>7</v>
      </c>
      <c r="B17" s="34" t="inlineStr">
        <is>
          <t>TLA107</t>
        </is>
      </c>
      <c r="C17" s="34" t="inlineStr">
        <is>
          <t>Kỹ thuật cấp thoát nước</t>
        </is>
      </c>
    </row>
    <row r="18">
      <c r="A18" s="34" t="n">
        <v>8</v>
      </c>
      <c r="B18" s="34" t="inlineStr">
        <is>
          <t>TLA109</t>
        </is>
      </c>
      <c r="C18" s="34" t="inlineStr">
        <is>
          <t>Kỹ thuật môi trường</t>
        </is>
      </c>
    </row>
    <row r="19">
      <c r="A19" s="34" t="n">
        <v>9</v>
      </c>
      <c r="B19" s="34" t="inlineStr">
        <is>
          <t>TLA110</t>
        </is>
      </c>
      <c r="C19" s="34" t="inlineStr">
        <is>
          <t>Kỹ thuật cơ sở hạ tầng</t>
        </is>
      </c>
    </row>
    <row r="20">
      <c r="A20" s="34" t="n">
        <v>10</v>
      </c>
      <c r="B20" s="34" t="inlineStr">
        <is>
          <t>TLA111</t>
        </is>
      </c>
      <c r="C20" s="34" t="inlineStr">
        <is>
          <t>Công nghệ kỹ thuật xây dựng</t>
        </is>
      </c>
    </row>
    <row r="21">
      <c r="A21" s="34" t="n">
        <v>11</v>
      </c>
      <c r="B21" s="34" t="inlineStr">
        <is>
          <t>TLA112</t>
        </is>
      </c>
      <c r="C21" s="34" t="inlineStr">
        <is>
          <t>Kỹ thuật điện</t>
        </is>
      </c>
    </row>
    <row r="22">
      <c r="A22" s="34" t="n">
        <v>12</v>
      </c>
      <c r="B22" s="34" t="inlineStr">
        <is>
          <t>TLA113</t>
        </is>
      </c>
      <c r="C22" s="34" t="inlineStr">
        <is>
          <t>Kỹ thuật xây dựng công trình giao thông</t>
        </is>
      </c>
    </row>
    <row r="23">
      <c r="A23" s="34" t="n">
        <v>13</v>
      </c>
      <c r="B23" s="34" t="inlineStr">
        <is>
          <t>TLA114</t>
        </is>
      </c>
      <c r="C23" s="34" t="inlineStr">
        <is>
          <t>Quản lý xây dựng</t>
        </is>
      </c>
    </row>
    <row r="24">
      <c r="A24" s="34" t="n">
        <v>14</v>
      </c>
      <c r="B24" s="34" t="inlineStr">
        <is>
          <t>TLA116</t>
        </is>
      </c>
      <c r="C24" s="34" t="inlineStr">
        <is>
          <t>Hệ thống thông tin</t>
        </is>
      </c>
    </row>
    <row r="25">
      <c r="A25" s="34" t="n">
        <v>15</v>
      </c>
      <c r="B25" s="34" t="inlineStr">
        <is>
          <t>TLA117</t>
        </is>
      </c>
      <c r="C25" s="34" t="inlineStr">
        <is>
          <t>Kỹ thuật phần mềm</t>
        </is>
      </c>
    </row>
    <row r="26">
      <c r="A26" s="34" t="n">
        <v>16</v>
      </c>
      <c r="B26" s="34" t="inlineStr">
        <is>
          <t>TLA118</t>
        </is>
      </c>
      <c r="C26" s="34" t="inlineStr">
        <is>
          <t>Kỹ thuật hóa học</t>
        </is>
      </c>
    </row>
    <row r="27">
      <c r="A27" s="34" t="n">
        <v>17</v>
      </c>
      <c r="B27" s="34" t="inlineStr">
        <is>
          <t>TLA119</t>
        </is>
      </c>
      <c r="C27" s="34" t="inlineStr">
        <is>
          <t>Công nghệ sinh học</t>
        </is>
      </c>
    </row>
    <row r="28">
      <c r="A28" s="34" t="n">
        <v>18</v>
      </c>
      <c r="B28" s="34" t="inlineStr">
        <is>
          <t>TLA120</t>
        </is>
      </c>
      <c r="C28" s="34" t="inlineStr">
        <is>
          <t>Kỹ thuật cơ điện tử</t>
        </is>
      </c>
    </row>
    <row r="29">
      <c r="A29" s="34" t="n">
        <v>19</v>
      </c>
      <c r="B29" s="34" t="inlineStr">
        <is>
          <t>TLA121</t>
        </is>
      </c>
      <c r="C29" s="34" t="inlineStr">
        <is>
          <t>Kỹ thuật điều khiển và tự động hóa</t>
        </is>
      </c>
    </row>
    <row r="30">
      <c r="A30" s="34" t="n">
        <v>20</v>
      </c>
      <c r="B30" s="34" t="inlineStr">
        <is>
          <t>TLA123</t>
        </is>
      </c>
      <c r="C30" s="34" t="inlineStr">
        <is>
          <t>Kỹ thuật Ô tô</t>
        </is>
      </c>
    </row>
    <row r="31">
      <c r="A31" s="34" t="n">
        <v>21</v>
      </c>
      <c r="B31" s="34" t="inlineStr">
        <is>
          <t>TLA124</t>
        </is>
      </c>
      <c r="C31" s="34" t="inlineStr">
        <is>
          <t>Kỹ thuật điện tử - viễn thông</t>
        </is>
      </c>
    </row>
    <row r="32">
      <c r="A32" s="34" t="n">
        <v>22</v>
      </c>
      <c r="B32" s="34" t="inlineStr">
        <is>
          <t>TLA126</t>
        </is>
      </c>
      <c r="C32" s="34" t="inlineStr">
        <is>
          <t>Trí tuệ nhân tạo và khoa học dữ liệu</t>
        </is>
      </c>
    </row>
    <row r="33">
      <c r="A33" s="34" t="n">
        <v>23</v>
      </c>
      <c r="B33" s="34" t="inlineStr">
        <is>
          <t>TLA127</t>
        </is>
      </c>
      <c r="C33" s="34" t="inlineStr">
        <is>
          <t>An ninh mạng</t>
        </is>
      </c>
    </row>
    <row r="34">
      <c r="A34" s="34" t="n">
        <v>24</v>
      </c>
      <c r="B34" s="34" t="inlineStr">
        <is>
          <t>TLA128</t>
        </is>
      </c>
      <c r="C34" s="34" t="inlineStr">
        <is>
          <t>Kỹ thuật Robot và Điều khiển thông minh</t>
        </is>
      </c>
    </row>
    <row r="35">
      <c r="A35" s="34" t="n">
        <v>25</v>
      </c>
      <c r="B35" s="34" t="inlineStr">
        <is>
          <t>TLA203</t>
        </is>
      </c>
      <c r="C35" s="34" t="inlineStr">
        <is>
          <t>Ngôn ngữ Anh</t>
        </is>
      </c>
    </row>
    <row r="36">
      <c r="A36" s="34" t="n">
        <v>26</v>
      </c>
      <c r="B36" s="34" t="inlineStr">
        <is>
          <t>TLA204</t>
        </is>
      </c>
      <c r="C36" s="34" t="inlineStr">
        <is>
          <t>Ngôn ngữ Trung Quốc</t>
        </is>
      </c>
    </row>
    <row r="37">
      <c r="A37" s="34" t="n">
        <v>27</v>
      </c>
      <c r="B37" s="34" t="inlineStr">
        <is>
          <t>TLA301</t>
        </is>
      </c>
      <c r="C37" s="34" t="inlineStr">
        <is>
          <t>Luật</t>
        </is>
      </c>
    </row>
    <row r="38">
      <c r="A38" s="34" t="n">
        <v>28</v>
      </c>
      <c r="B38" s="34" t="inlineStr">
        <is>
          <t>TLA302</t>
        </is>
      </c>
      <c r="C38" s="34" t="inlineStr">
        <is>
          <t>Luật kinh tế</t>
        </is>
      </c>
    </row>
    <row r="39">
      <c r="A39" s="34" t="n">
        <v>29</v>
      </c>
      <c r="B39" s="34" t="inlineStr">
        <is>
          <t>TLA401</t>
        </is>
      </c>
      <c r="C39" s="34" t="inlineStr">
        <is>
          <t>Kinh tế</t>
        </is>
      </c>
    </row>
    <row r="40">
      <c r="A40" s="34" t="n">
        <v>30</v>
      </c>
      <c r="B40" s="34" t="inlineStr">
        <is>
          <t>TLA402</t>
        </is>
      </c>
      <c r="C40" s="34" t="inlineStr">
        <is>
          <t>Quản trị kinh doanh</t>
        </is>
      </c>
    </row>
    <row r="41">
      <c r="A41" s="34" t="n">
        <v>31</v>
      </c>
      <c r="B41" s="34" t="inlineStr">
        <is>
          <t>TLA403</t>
        </is>
      </c>
      <c r="C41" s="34" t="inlineStr">
        <is>
          <t>Kế toán</t>
        </is>
      </c>
    </row>
    <row r="42">
      <c r="A42" s="34" t="n">
        <v>32</v>
      </c>
      <c r="B42" s="34" t="inlineStr">
        <is>
          <t>TLA404</t>
        </is>
      </c>
      <c r="C42" s="34" t="inlineStr">
        <is>
          <t>Kinh tế xây dựng</t>
        </is>
      </c>
    </row>
    <row r="43">
      <c r="A43" s="34" t="n">
        <v>33</v>
      </c>
      <c r="B43" s="34" t="inlineStr">
        <is>
          <t>TLA405</t>
        </is>
      </c>
      <c r="C43" s="34" t="inlineStr">
        <is>
          <t>Thương mại điện tử</t>
        </is>
      </c>
    </row>
    <row r="44">
      <c r="A44" s="34" t="n">
        <v>34</v>
      </c>
      <c r="B44" s="34" t="inlineStr">
        <is>
          <t>TLA406</t>
        </is>
      </c>
      <c r="C44" s="34" t="inlineStr">
        <is>
          <t>Quản trị dịch vụ du lịch và lữ hành</t>
        </is>
      </c>
    </row>
    <row r="45">
      <c r="A45" s="34" t="n">
        <v>35</v>
      </c>
      <c r="B45" s="34" t="inlineStr">
        <is>
          <t>TLA407</t>
        </is>
      </c>
      <c r="C45" s="34" t="inlineStr">
        <is>
          <t>Logistics và quản lý chuỗi cung ứng</t>
        </is>
      </c>
    </row>
    <row r="46">
      <c r="A46" s="34" t="n">
        <v>36</v>
      </c>
      <c r="B46" s="34" t="inlineStr">
        <is>
          <t>TLA408</t>
        </is>
      </c>
      <c r="C46" s="34" t="inlineStr">
        <is>
          <t>Tài chính – Ngân hàng</t>
        </is>
      </c>
    </row>
    <row r="47">
      <c r="A47" s="34" t="n">
        <v>37</v>
      </c>
      <c r="B47" s="34" t="inlineStr">
        <is>
          <t>TLA409</t>
        </is>
      </c>
      <c r="C47" s="34" t="inlineStr">
        <is>
          <t>Kiểm toán</t>
        </is>
      </c>
    </row>
    <row r="48">
      <c r="A48" s="34" t="n">
        <v>38</v>
      </c>
      <c r="B48" s="34" t="inlineStr">
        <is>
          <t>TLA410</t>
        </is>
      </c>
      <c r="C48" s="34" t="inlineStr">
        <is>
          <t>Kinh tế số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tlu.edu.vn/" r:id="rId2"/>
    <hyperlink xmlns:r="http://schemas.openxmlformats.org/officeDocument/2006/relationships" ref="B6" display="https://tuyensinh.tl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Mỏ - Địa chất (HUMG)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https://humg.edu.vn/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https://tuyensinh.humg.edu.vn/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2025-2026. Nguồn: danh mục ngành HUMG.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7440201</t>
        </is>
      </c>
      <c r="C11" s="34" t="inlineStr">
        <is>
          <t>Địa chất học</t>
        </is>
      </c>
    </row>
    <row r="12">
      <c r="A12" s="34" t="n">
        <v>2</v>
      </c>
      <c r="B12" s="34" t="inlineStr">
        <is>
          <t>7440229</t>
        </is>
      </c>
      <c r="C12" s="34" t="inlineStr">
        <is>
          <t>Quản lý và phân tích dữ liệu khoa học trái đất</t>
        </is>
      </c>
    </row>
    <row r="13">
      <c r="A13" s="34" t="n">
        <v>3</v>
      </c>
      <c r="B13" s="34" t="inlineStr">
        <is>
          <t>7460108</t>
        </is>
      </c>
      <c r="C13" s="34" t="inlineStr">
        <is>
          <t>Khoa học dữ liệu</t>
        </is>
      </c>
    </row>
    <row r="14">
      <c r="A14" s="34" t="n">
        <v>4</v>
      </c>
      <c r="B14" s="34" t="inlineStr">
        <is>
          <t>7480201</t>
        </is>
      </c>
      <c r="C14" s="34" t="inlineStr">
        <is>
          <t>Công nghệ thông tin</t>
        </is>
      </c>
    </row>
    <row r="15">
      <c r="A15" s="34" t="n">
        <v>5</v>
      </c>
      <c r="B15" s="34" t="inlineStr">
        <is>
          <t>7480206</t>
        </is>
      </c>
      <c r="C15" s="34" t="inlineStr">
        <is>
          <t>Địa tin học</t>
        </is>
      </c>
    </row>
    <row r="16">
      <c r="A16" s="34" t="n">
        <v>6</v>
      </c>
      <c r="B16" s="34" t="inlineStr">
        <is>
          <t>7510401</t>
        </is>
      </c>
      <c r="C16" s="34" t="inlineStr">
        <is>
          <t>Công nghệ kỹ thuật hóa học</t>
        </is>
      </c>
    </row>
    <row r="17">
      <c r="A17" s="34" t="n">
        <v>7</v>
      </c>
      <c r="B17" s="34" t="inlineStr">
        <is>
          <t>7520103</t>
        </is>
      </c>
      <c r="C17" s="34" t="inlineStr">
        <is>
          <t>Kỹ thuật cơ khí</t>
        </is>
      </c>
    </row>
    <row r="18">
      <c r="A18" s="34" t="n">
        <v>8</v>
      </c>
      <c r="B18" s="34" t="inlineStr">
        <is>
          <t>7520107</t>
        </is>
      </c>
      <c r="C18" s="34" t="inlineStr">
        <is>
          <t>Kỹ thuật Robot</t>
        </is>
      </c>
    </row>
    <row r="19">
      <c r="A19" s="34" t="n">
        <v>9</v>
      </c>
      <c r="B19" s="34" t="inlineStr">
        <is>
          <t>7520114</t>
        </is>
      </c>
      <c r="C19" s="34" t="inlineStr">
        <is>
          <t>Kỹ thuật cơ điện tử</t>
        </is>
      </c>
    </row>
    <row r="20">
      <c r="A20" s="34" t="n">
        <v>10</v>
      </c>
      <c r="B20" s="34" t="inlineStr">
        <is>
          <t>7520201</t>
        </is>
      </c>
      <c r="C20" s="34" t="inlineStr">
        <is>
          <t>Kỹ thuật điện</t>
        </is>
      </c>
    </row>
    <row r="21">
      <c r="A21" s="34" t="n">
        <v>11</v>
      </c>
      <c r="B21" s="34" t="inlineStr">
        <is>
          <t>7520216</t>
        </is>
      </c>
      <c r="C21" s="34" t="inlineStr">
        <is>
          <t>Kỹ thuật điều khiển và tự động hóa</t>
        </is>
      </c>
    </row>
    <row r="22">
      <c r="A22" s="34" t="n">
        <v>12</v>
      </c>
      <c r="B22" s="34" t="inlineStr">
        <is>
          <t>7520301</t>
        </is>
      </c>
      <c r="C22" s="34" t="inlineStr">
        <is>
          <t>Kỹ thuật hóa học (CT tiên tiến)</t>
        </is>
      </c>
    </row>
    <row r="23">
      <c r="A23" s="34" t="n">
        <v>13</v>
      </c>
      <c r="B23" s="34" t="inlineStr">
        <is>
          <t>7520309</t>
        </is>
      </c>
      <c r="C23" s="34" t="inlineStr">
        <is>
          <t>Kỹ thuật vật liệu</t>
        </is>
      </c>
    </row>
    <row r="24">
      <c r="A24" s="34" t="n">
        <v>14</v>
      </c>
      <c r="B24" s="34" t="inlineStr">
        <is>
          <t>7520320</t>
        </is>
      </c>
      <c r="C24" s="34" t="inlineStr">
        <is>
          <t>Kỹ thuật môi trường</t>
        </is>
      </c>
    </row>
    <row r="25">
      <c r="A25" s="34" t="n">
        <v>15</v>
      </c>
      <c r="B25" s="34" t="inlineStr">
        <is>
          <t>7520501</t>
        </is>
      </c>
      <c r="C25" s="34" t="inlineStr">
        <is>
          <t>Kỹ thuật địa chất</t>
        </is>
      </c>
    </row>
    <row r="26">
      <c r="A26" s="34" t="n">
        <v>16</v>
      </c>
      <c r="B26" s="34" t="inlineStr">
        <is>
          <t>7520502</t>
        </is>
      </c>
      <c r="C26" s="34" t="inlineStr">
        <is>
          <t>Kỹ thuật địa vật lý</t>
        </is>
      </c>
    </row>
    <row r="27">
      <c r="A27" s="34" t="n">
        <v>17</v>
      </c>
      <c r="B27" s="34" t="inlineStr">
        <is>
          <t>7520503</t>
        </is>
      </c>
      <c r="C27" s="34" t="inlineStr">
        <is>
          <t>Kỹ thuật trắc địa - bản đồ</t>
        </is>
      </c>
    </row>
    <row r="28">
      <c r="A28" s="34" t="n">
        <v>18</v>
      </c>
      <c r="B28" s="34" t="inlineStr">
        <is>
          <t>7520505</t>
        </is>
      </c>
      <c r="C28" s="34" t="inlineStr">
        <is>
          <t>Đá quý, đá mỹ nghệ</t>
        </is>
      </c>
    </row>
    <row r="29">
      <c r="A29" s="34" t="n">
        <v>19</v>
      </c>
      <c r="B29" s="34" t="inlineStr">
        <is>
          <t>7520601</t>
        </is>
      </c>
      <c r="C29" s="34" t="inlineStr">
        <is>
          <t>Kỹ thuật mỏ</t>
        </is>
      </c>
    </row>
    <row r="30">
      <c r="A30" s="34" t="n">
        <v>20</v>
      </c>
      <c r="B30" s="34" t="inlineStr">
        <is>
          <t>7520604</t>
        </is>
      </c>
      <c r="C30" s="34" t="inlineStr">
        <is>
          <t>Kỹ thuật dầu khí</t>
        </is>
      </c>
    </row>
    <row r="31">
      <c r="A31" s="34" t="n">
        <v>21</v>
      </c>
      <c r="B31" s="34" t="inlineStr">
        <is>
          <t>7520605</t>
        </is>
      </c>
      <c r="C31" s="34" t="inlineStr">
        <is>
          <t>Kỹ thuật khí thiên nhiên</t>
        </is>
      </c>
    </row>
    <row r="32">
      <c r="A32" s="34" t="n">
        <v>22</v>
      </c>
      <c r="B32" s="34" t="inlineStr">
        <is>
          <t>7520606</t>
        </is>
      </c>
      <c r="C32" s="34" t="inlineStr">
        <is>
          <t>Công nghệ số trong thăm dò và khai thác tài nguyên</t>
        </is>
      </c>
    </row>
    <row r="33">
      <c r="A33" s="34" t="n">
        <v>23</v>
      </c>
      <c r="B33" s="34" t="inlineStr">
        <is>
          <t>7520607</t>
        </is>
      </c>
      <c r="C33" s="34" t="inlineStr">
        <is>
          <t>Kỹ thuật tuyển khoáng</t>
        </is>
      </c>
    </row>
    <row r="34">
      <c r="A34" s="34" t="n">
        <v>24</v>
      </c>
      <c r="B34" s="34" t="inlineStr">
        <is>
          <t>7580211</t>
        </is>
      </c>
      <c r="C34" s="34" t="inlineStr">
        <is>
          <t>Địa kỹ thuật xây dựng</t>
        </is>
      </c>
    </row>
    <row r="35">
      <c r="A35" s="34" t="n">
        <v>25</v>
      </c>
      <c r="B35" s="34" t="inlineStr">
        <is>
          <t>7580212</t>
        </is>
      </c>
      <c r="C35" s="34" t="inlineStr">
        <is>
          <t>Kỹ thuật tài nguyên nước</t>
        </is>
      </c>
    </row>
    <row r="36">
      <c r="A36" s="34" t="n">
        <v>26</v>
      </c>
      <c r="B36" s="34" t="inlineStr">
        <is>
          <t>7580109</t>
        </is>
      </c>
      <c r="C36" s="34" t="inlineStr">
        <is>
          <t>Quản lý phát triển đô thị và bất động sản</t>
        </is>
      </c>
    </row>
    <row r="37">
      <c r="A37" s="34" t="n">
        <v>27</v>
      </c>
      <c r="B37" s="34" t="inlineStr">
        <is>
          <t>7850103</t>
        </is>
      </c>
      <c r="C37" s="34" t="inlineStr">
        <is>
          <t>Quản lý đất đai</t>
        </is>
      </c>
    </row>
    <row r="38">
      <c r="A38" s="34" t="n">
        <v>28</v>
      </c>
      <c r="B38" s="34" t="inlineStr">
        <is>
          <t>7850202</t>
        </is>
      </c>
      <c r="C38" s="34" t="inlineStr">
        <is>
          <t>An toàn, vệ sinh lao động</t>
        </is>
      </c>
    </row>
    <row r="39">
      <c r="A39" s="34" t="n">
        <v>29</v>
      </c>
      <c r="B39" s="34" t="inlineStr">
        <is>
          <t>7810105</t>
        </is>
      </c>
      <c r="C39" s="34" t="inlineStr">
        <is>
          <t>Du lịch địa chất</t>
        </is>
      </c>
    </row>
    <row r="40">
      <c r="A40" s="34" t="n">
        <v>30</v>
      </c>
      <c r="B40" s="34" t="inlineStr">
        <is>
          <t>7340101</t>
        </is>
      </c>
      <c r="C40" s="34" t="inlineStr">
        <is>
          <t>Quản trị kinh doanh</t>
        </is>
      </c>
    </row>
    <row r="41">
      <c r="A41" s="34" t="n">
        <v>31</v>
      </c>
      <c r="B41" s="34" t="inlineStr">
        <is>
          <t>7340201</t>
        </is>
      </c>
      <c r="C41" s="34" t="inlineStr">
        <is>
          <t>Tài chính - Ngân hàng</t>
        </is>
      </c>
    </row>
    <row r="42">
      <c r="A42" s="34" t="n">
        <v>32</v>
      </c>
      <c r="B42" s="34" t="inlineStr">
        <is>
          <t>7340301</t>
        </is>
      </c>
      <c r="C42" s="34" t="inlineStr">
        <is>
          <t>Kế toán</t>
        </is>
      </c>
    </row>
    <row r="43">
      <c r="A43" s="34" t="n">
        <v>33</v>
      </c>
      <c r="B43" s="34" t="inlineStr">
        <is>
          <t>7220201</t>
        </is>
      </c>
      <c r="C43" s="34" t="inlineStr">
        <is>
          <t>Ngôn ngữ Anh</t>
        </is>
      </c>
    </row>
    <row r="44">
      <c r="A44" s="34" t="n">
        <v>34</v>
      </c>
      <c r="B44" s="34" t="inlineStr">
        <is>
          <t>7220204</t>
        </is>
      </c>
      <c r="C44" s="34" t="inlineStr">
        <is>
          <t>Ngôn ngữ Trung Quốc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umg.edu.vn/" r:id="rId2"/>
    <hyperlink xmlns:r="http://schemas.openxmlformats.org/officeDocument/2006/relationships" ref="B6" display="https://tuyensinh.humg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Đại học Điện lực (EPU)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https://epu.edu.vn/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https://tuyensinh.epu.edu.vn/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2025-2026. Nguồn: các trang tuyển sinh EPU.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7510301</t>
        </is>
      </c>
      <c r="C11" s="34" t="inlineStr">
        <is>
          <t>Công nghệ kỹ thuật điện, điện tử</t>
        </is>
      </c>
    </row>
    <row r="12">
      <c r="A12" s="34" t="n">
        <v>2</v>
      </c>
      <c r="B12" s="34" t="inlineStr">
        <is>
          <t>7510303</t>
        </is>
      </c>
      <c r="C12" s="34" t="inlineStr">
        <is>
          <t>Công nghệ kỹ thuật điều khiển và tự động hoá</t>
        </is>
      </c>
    </row>
    <row r="13">
      <c r="A13" s="34" t="n">
        <v>3</v>
      </c>
      <c r="B13" s="34" t="inlineStr">
        <is>
          <t>7510302</t>
        </is>
      </c>
      <c r="C13" s="34" t="inlineStr">
        <is>
          <t>Công nghệ kỹ thuật điện tử - viễn thông</t>
        </is>
      </c>
    </row>
    <row r="14">
      <c r="A14" s="34" t="n">
        <v>4</v>
      </c>
      <c r="B14" s="34" t="inlineStr">
        <is>
          <t>7480201</t>
        </is>
      </c>
      <c r="C14" s="34" t="inlineStr">
        <is>
          <t>Công nghệ thông tin</t>
        </is>
      </c>
    </row>
    <row r="15">
      <c r="A15" s="34" t="n">
        <v>5</v>
      </c>
      <c r="B15" s="34" t="inlineStr">
        <is>
          <t>7480107</t>
        </is>
      </c>
      <c r="C15" s="34" t="inlineStr">
        <is>
          <t>Trí tuệ nhân tạo</t>
        </is>
      </c>
    </row>
    <row r="16">
      <c r="A16" s="34" t="n">
        <v>6</v>
      </c>
      <c r="B16" s="34" t="inlineStr">
        <is>
          <t>7480106</t>
        </is>
      </c>
      <c r="C16" s="34" t="inlineStr">
        <is>
          <t>Kỹ thuật máy tính</t>
        </is>
      </c>
    </row>
    <row r="17">
      <c r="A17" s="34" t="n">
        <v>7</v>
      </c>
      <c r="B17" s="34" t="inlineStr">
        <is>
          <t>7510203</t>
        </is>
      </c>
      <c r="C17" s="34" t="inlineStr">
        <is>
          <t>Công nghệ kỹ thuật cơ điện tử</t>
        </is>
      </c>
    </row>
    <row r="18">
      <c r="A18" s="34" t="n">
        <v>8</v>
      </c>
      <c r="B18" s="34" t="inlineStr">
        <is>
          <t>7510201</t>
        </is>
      </c>
      <c r="C18" s="34" t="inlineStr">
        <is>
          <t>Công nghệ kỹ thuật cơ khí</t>
        </is>
      </c>
    </row>
    <row r="19">
      <c r="A19" s="34" t="n">
        <v>9</v>
      </c>
      <c r="B19" s="34" t="inlineStr">
        <is>
          <t>7510205</t>
        </is>
      </c>
      <c r="C19" s="34" t="inlineStr">
        <is>
          <t>Công nghệ kỹ thuật ô tô</t>
        </is>
      </c>
    </row>
    <row r="20">
      <c r="A20" s="34" t="n">
        <v>10</v>
      </c>
      <c r="B20" s="34" t="inlineStr">
        <is>
          <t>7520115</t>
        </is>
      </c>
      <c r="C20" s="34" t="inlineStr">
        <is>
          <t>Kỹ thuật nhiệt</t>
        </is>
      </c>
    </row>
    <row r="21">
      <c r="A21" s="34" t="n">
        <v>11</v>
      </c>
      <c r="B21" s="34" t="inlineStr">
        <is>
          <t>7520107</t>
        </is>
      </c>
      <c r="C21" s="34" t="inlineStr">
        <is>
          <t>Kỹ thuật Robot</t>
        </is>
      </c>
    </row>
    <row r="22">
      <c r="A22" s="34" t="n">
        <v>12</v>
      </c>
      <c r="B22" s="34" t="inlineStr">
        <is>
          <t>7340101</t>
        </is>
      </c>
      <c r="C22" s="34" t="inlineStr">
        <is>
          <t>Quản trị kinh doanh</t>
        </is>
      </c>
    </row>
    <row r="23">
      <c r="A23" s="34" t="n">
        <v>13</v>
      </c>
      <c r="B23" s="34" t="inlineStr">
        <is>
          <t>7340115</t>
        </is>
      </c>
      <c r="C23" s="34" t="inlineStr">
        <is>
          <t>Marketing</t>
        </is>
      </c>
    </row>
    <row r="24">
      <c r="A24" s="34" t="n">
        <v>14</v>
      </c>
      <c r="B24" s="34" t="inlineStr">
        <is>
          <t>7340122</t>
        </is>
      </c>
      <c r="C24" s="34" t="inlineStr">
        <is>
          <t>Thương mại điện tử</t>
        </is>
      </c>
    </row>
    <row r="25">
      <c r="A25" s="34" t="n">
        <v>15</v>
      </c>
      <c r="B25" s="34" t="inlineStr">
        <is>
          <t>7340201</t>
        </is>
      </c>
      <c r="C25" s="34" t="inlineStr">
        <is>
          <t>Tài chính - Ngân hàng</t>
        </is>
      </c>
    </row>
    <row r="26">
      <c r="A26" s="34" t="n">
        <v>16</v>
      </c>
      <c r="B26" s="34" t="inlineStr">
        <is>
          <t>7340301</t>
        </is>
      </c>
      <c r="C26" s="34" t="inlineStr">
        <is>
          <t>Kế toán</t>
        </is>
      </c>
    </row>
    <row r="27">
      <c r="A27" s="34" t="n">
        <v>17</v>
      </c>
      <c r="B27" s="34" t="inlineStr">
        <is>
          <t>7340302</t>
        </is>
      </c>
      <c r="C27" s="34" t="inlineStr">
        <is>
          <t>Kiểm toán</t>
        </is>
      </c>
    </row>
    <row r="28">
      <c r="A28" s="34" t="n">
        <v>18</v>
      </c>
      <c r="B28" s="34" t="inlineStr">
        <is>
          <t>7510601</t>
        </is>
      </c>
      <c r="C28" s="34" t="inlineStr">
        <is>
          <t>Quản lý công nghiệp</t>
        </is>
      </c>
    </row>
    <row r="29">
      <c r="A29" s="34" t="n">
        <v>19</v>
      </c>
      <c r="B29" s="34" t="inlineStr">
        <is>
          <t>7510605</t>
        </is>
      </c>
      <c r="C29" s="34" t="inlineStr">
        <is>
          <t>Logistics và Quản lý chuỗi cung ứng</t>
        </is>
      </c>
    </row>
    <row r="30">
      <c r="A30" s="34" t="n">
        <v>20</v>
      </c>
      <c r="B30" s="34" t="inlineStr">
        <is>
          <t>7810103</t>
        </is>
      </c>
      <c r="C30" s="34" t="inlineStr">
        <is>
          <t>Quản trị dịch vụ Du lịch và Lữ hành</t>
        </is>
      </c>
    </row>
    <row r="31">
      <c r="A31" s="34" t="n">
        <v>21</v>
      </c>
      <c r="B31" s="34" t="inlineStr">
        <is>
          <t>7810201</t>
        </is>
      </c>
      <c r="C31" s="34" t="inlineStr">
        <is>
          <t>Quản trị khách sạn</t>
        </is>
      </c>
    </row>
    <row r="32">
      <c r="A32" s="34" t="n">
        <v>22</v>
      </c>
      <c r="B32" s="34" t="inlineStr">
        <is>
          <t>7460108</t>
        </is>
      </c>
      <c r="C32" s="34" t="inlineStr">
        <is>
          <t>Khoa học dữ liệu</t>
        </is>
      </c>
    </row>
    <row r="33">
      <c r="A33" s="34" t="n">
        <v>23</v>
      </c>
      <c r="B33" s="34" t="inlineStr">
        <is>
          <t>7220201</t>
        </is>
      </c>
      <c r="C33" s="34" t="inlineStr">
        <is>
          <t>Ngôn ngữ Anh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epu.edu.vn/" r:id="rId2"/>
    <hyperlink xmlns:r="http://schemas.openxmlformats.org/officeDocument/2006/relationships" ref="B6" display="https://tuyensinh.ep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Công nghiệp Hà Nội (HaUI)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https://haui.edu.vn/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https://tuyensinh.haui.edu.vn/</t>
        </is>
      </c>
    </row>
    <row r="7" ht="39.75" customHeight="1" s="35">
      <c r="A7" s="66" t="inlineStr">
        <is>
          <t>Nguồn/ghi chú:</t>
        </is>
      </c>
      <c r="B7" s="37" t="inlineStr">
        <is>
          <t>Danh sách ngành/chương trình đào tạo đại học chính quy 2026 (theo bảng xét tuyển kết hợp). Nguồn: huongnghiep.hocmai.vn/de-an/truong-dai-hoc-cong-nghiep-ha-noi. Trường công bố 71 ngành/chương trình, nguồn liệt kê 70 -&gt; còn thiếu 1 chương trình chưa xác định.</t>
        </is>
      </c>
    </row>
    <row r="8" ht="39.75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 ht="15" customHeight="1" s="35">
      <c r="A11" s="48" t="n">
        <v>1</v>
      </c>
      <c r="B11" s="47" t="inlineStr">
        <is>
          <t>7210404</t>
        </is>
      </c>
      <c r="C11" s="47" t="inlineStr">
        <is>
          <t>Thiết kế thời trang</t>
        </is>
      </c>
    </row>
    <row r="12" ht="15" customHeight="1" s="35">
      <c r="A12" s="48" t="n">
        <v>2</v>
      </c>
      <c r="B12" s="47" t="inlineStr">
        <is>
          <t>7220201</t>
        </is>
      </c>
      <c r="C12" s="47" t="inlineStr">
        <is>
          <t>Ngôn ngữ Anh</t>
        </is>
      </c>
    </row>
    <row r="13" ht="15" customHeight="1" s="35">
      <c r="A13" s="48" t="n">
        <v>3</v>
      </c>
      <c r="B13" s="47" t="inlineStr">
        <is>
          <t>7220204</t>
        </is>
      </c>
      <c r="C13" s="47" t="inlineStr">
        <is>
          <t>Ngôn ngữ Trung Quốc</t>
        </is>
      </c>
    </row>
    <row r="14" ht="15" customHeight="1" s="35">
      <c r="A14" s="48" t="n">
        <v>4</v>
      </c>
      <c r="B14" s="47" t="inlineStr">
        <is>
          <t>7220204LK</t>
        </is>
      </c>
      <c r="C14" s="47" t="inlineStr">
        <is>
          <t>Ngôn ngữ Trung Quốc (LK2+2 với ĐHKHKT Quảng Tây)</t>
        </is>
      </c>
    </row>
    <row r="15" ht="15" customHeight="1" s="35">
      <c r="A15" s="48" t="n">
        <v>5</v>
      </c>
      <c r="B15" s="47" t="inlineStr">
        <is>
          <t>7220209</t>
        </is>
      </c>
      <c r="C15" s="47" t="inlineStr">
        <is>
          <t>Ngôn ngữ Nhật</t>
        </is>
      </c>
    </row>
    <row r="16" ht="15" customHeight="1" s="35">
      <c r="A16" s="48" t="n">
        <v>6</v>
      </c>
      <c r="B16" s="47" t="inlineStr">
        <is>
          <t>7220210</t>
        </is>
      </c>
      <c r="C16" s="47" t="inlineStr">
        <is>
          <t>Ngôn ngữ Hàn Quốc</t>
        </is>
      </c>
    </row>
    <row r="17" ht="15" customHeight="1" s="35">
      <c r="A17" s="48" t="n">
        <v>7</v>
      </c>
      <c r="B17" s="47" t="inlineStr">
        <is>
          <t>7229020</t>
        </is>
      </c>
      <c r="C17" s="47" t="inlineStr">
        <is>
          <t>Ngôn ngữ học</t>
        </is>
      </c>
    </row>
    <row r="18" ht="15" customHeight="1" s="35">
      <c r="A18" s="48" t="n">
        <v>8</v>
      </c>
      <c r="B18" s="47" t="inlineStr">
        <is>
          <t>7310104</t>
        </is>
      </c>
      <c r="C18" s="47" t="inlineStr">
        <is>
          <t>Kinh tế đầu tư</t>
        </is>
      </c>
    </row>
    <row r="19" ht="15" customHeight="1" s="35">
      <c r="A19" s="48" t="n">
        <v>9</v>
      </c>
      <c r="B19" s="47" t="inlineStr">
        <is>
          <t>7310612</t>
        </is>
      </c>
      <c r="C19" s="47" t="inlineStr">
        <is>
          <t>Trung Quốc học</t>
        </is>
      </c>
    </row>
    <row r="20" ht="15" customHeight="1" s="35">
      <c r="A20" s="48" t="n">
        <v>10</v>
      </c>
      <c r="B20" s="47" t="inlineStr">
        <is>
          <t>7340101</t>
        </is>
      </c>
      <c r="C20" s="47" t="inlineStr">
        <is>
          <t>Quản trị kinh doanh</t>
        </is>
      </c>
    </row>
    <row r="21" ht="15" customHeight="1" s="35">
      <c r="A21" s="48" t="n">
        <v>11</v>
      </c>
      <c r="B21" s="47" t="inlineStr">
        <is>
          <t>73401012</t>
        </is>
      </c>
      <c r="C21" s="47" t="inlineStr">
        <is>
          <t>Phân tích dữ liệu kinh doanh</t>
        </is>
      </c>
    </row>
    <row r="22" ht="15" customHeight="1" s="35">
      <c r="A22" s="48" t="n">
        <v>12</v>
      </c>
      <c r="B22" s="47" t="inlineStr">
        <is>
          <t>7340101TA</t>
        </is>
      </c>
      <c r="C22" s="47" t="inlineStr">
        <is>
          <t>Quản trị kinh doanh (CTĐT bằng Tiếng Anh)</t>
        </is>
      </c>
    </row>
    <row r="23" ht="15" customHeight="1" s="35">
      <c r="A23" s="48" t="n">
        <v>13</v>
      </c>
      <c r="B23" s="47" t="inlineStr">
        <is>
          <t>7340115</t>
        </is>
      </c>
      <c r="C23" s="47" t="inlineStr">
        <is>
          <t>Marketing</t>
        </is>
      </c>
    </row>
    <row r="24" ht="15" customHeight="1" s="35">
      <c r="A24" s="48" t="n">
        <v>14</v>
      </c>
      <c r="B24" s="47" t="inlineStr">
        <is>
          <t>7340201</t>
        </is>
      </c>
      <c r="C24" s="47" t="inlineStr">
        <is>
          <t>Tài chính – Ngân hàng</t>
        </is>
      </c>
    </row>
    <row r="25" ht="15" customHeight="1" s="35">
      <c r="A25" s="48" t="n">
        <v>15</v>
      </c>
      <c r="B25" s="47" t="inlineStr">
        <is>
          <t>7340201TA</t>
        </is>
      </c>
      <c r="C25" s="47" t="inlineStr">
        <is>
          <t>Tài chính – Ngân hàng (CTĐT bằng Tiếng Anh)</t>
        </is>
      </c>
    </row>
    <row r="26" ht="15" customHeight="1" s="35">
      <c r="A26" s="48" t="n">
        <v>16</v>
      </c>
      <c r="B26" s="47" t="inlineStr">
        <is>
          <t>7340301</t>
        </is>
      </c>
      <c r="C26" s="47" t="inlineStr">
        <is>
          <t>Kế toán</t>
        </is>
      </c>
    </row>
    <row r="27" ht="15" customHeight="1" s="35">
      <c r="A27" s="48" t="n">
        <v>17</v>
      </c>
      <c r="B27" s="47" t="inlineStr">
        <is>
          <t>7340301TA</t>
        </is>
      </c>
      <c r="C27" s="47" t="inlineStr">
        <is>
          <t>Kế toán (CTĐT bằng tiếng Anh)</t>
        </is>
      </c>
    </row>
    <row r="28" ht="15" customHeight="1" s="35">
      <c r="A28" s="48" t="n">
        <v>18</v>
      </c>
      <c r="B28" s="47" t="inlineStr">
        <is>
          <t>7340302</t>
        </is>
      </c>
      <c r="C28" s="47" t="inlineStr">
        <is>
          <t>Kiểm toán</t>
        </is>
      </c>
    </row>
    <row r="29" ht="15" customHeight="1" s="35">
      <c r="A29" s="48" t="n">
        <v>19</v>
      </c>
      <c r="B29" s="47" t="inlineStr">
        <is>
          <t>7340404</t>
        </is>
      </c>
      <c r="C29" s="47" t="inlineStr">
        <is>
          <t>Quản trị nhân lực</t>
        </is>
      </c>
    </row>
    <row r="30" ht="15" customHeight="1" s="35">
      <c r="A30" s="48" t="n">
        <v>20</v>
      </c>
      <c r="B30" s="47" t="inlineStr">
        <is>
          <t>7340406</t>
        </is>
      </c>
      <c r="C30" s="47" t="inlineStr">
        <is>
          <t>Quản trị văn phòng</t>
        </is>
      </c>
    </row>
    <row r="31" ht="15" customHeight="1" s="35">
      <c r="A31" s="48" t="n">
        <v>21</v>
      </c>
      <c r="B31" s="47" t="inlineStr">
        <is>
          <t>7420201</t>
        </is>
      </c>
      <c r="C31" s="47" t="inlineStr">
        <is>
          <t>Công nghệ sinh học</t>
        </is>
      </c>
    </row>
    <row r="32" ht="15" customHeight="1" s="35">
      <c r="A32" s="48" t="n">
        <v>22</v>
      </c>
      <c r="B32" s="47" t="inlineStr">
        <is>
          <t>7480101</t>
        </is>
      </c>
      <c r="C32" s="47" t="inlineStr">
        <is>
          <t>Khoa học máy tính</t>
        </is>
      </c>
    </row>
    <row r="33" ht="15" customHeight="1" s="35">
      <c r="A33" s="48" t="n">
        <v>23</v>
      </c>
      <c r="B33" s="47" t="inlineStr">
        <is>
          <t>74801012</t>
        </is>
      </c>
      <c r="C33" s="47" t="inlineStr">
        <is>
          <t>Trí tuệ nhân tạo</t>
        </is>
      </c>
    </row>
    <row r="34" ht="15" customHeight="1" s="35">
      <c r="A34" s="48" t="n">
        <v>24</v>
      </c>
      <c r="B34" s="47" t="inlineStr">
        <is>
          <t>7480101TA</t>
        </is>
      </c>
      <c r="C34" s="47" t="inlineStr">
        <is>
          <t>Khoa học máy tính (CTĐT bằng tiếng Anh)</t>
        </is>
      </c>
    </row>
    <row r="35" ht="15" customHeight="1" s="35">
      <c r="A35" s="48" t="n">
        <v>25</v>
      </c>
      <c r="B35" s="47" t="inlineStr">
        <is>
          <t>7480102</t>
        </is>
      </c>
      <c r="C35" s="47" t="inlineStr">
        <is>
          <t>Mạng máy tính và truyền thông dữ liệu</t>
        </is>
      </c>
    </row>
    <row r="36" ht="15" customHeight="1" s="35">
      <c r="A36" s="48" t="n">
        <v>26</v>
      </c>
      <c r="B36" s="47" t="inlineStr">
        <is>
          <t>7480103</t>
        </is>
      </c>
      <c r="C36" s="47" t="inlineStr">
        <is>
          <t>Kỹ thuật phần mềm</t>
        </is>
      </c>
    </row>
    <row r="37" ht="15" customHeight="1" s="35">
      <c r="A37" s="48" t="n">
        <v>27</v>
      </c>
      <c r="B37" s="47" t="inlineStr">
        <is>
          <t>7480104</t>
        </is>
      </c>
      <c r="C37" s="47" t="inlineStr">
        <is>
          <t>Hệ thống thông tin</t>
        </is>
      </c>
    </row>
    <row r="38" ht="15" customHeight="1" s="35">
      <c r="A38" s="48" t="n">
        <v>28</v>
      </c>
      <c r="B38" s="47" t="inlineStr">
        <is>
          <t>7480108</t>
        </is>
      </c>
      <c r="C38" s="47" t="inlineStr">
        <is>
          <t>Công nghệ kỹ thuật máy tính</t>
        </is>
      </c>
    </row>
    <row r="39" ht="15" customHeight="1" s="35">
      <c r="A39" s="48" t="n">
        <v>29</v>
      </c>
      <c r="B39" s="47" t="inlineStr">
        <is>
          <t>74801081</t>
        </is>
      </c>
      <c r="C39" s="47" t="inlineStr">
        <is>
          <t>Vi mạch bán dẫn</t>
        </is>
      </c>
    </row>
    <row r="40" ht="15" customHeight="1" s="35">
      <c r="A40" s="48" t="n">
        <v>30</v>
      </c>
      <c r="B40" s="47" t="inlineStr">
        <is>
          <t>7480201</t>
        </is>
      </c>
      <c r="C40" s="47" t="inlineStr">
        <is>
          <t>Công nghệ thông tin</t>
        </is>
      </c>
    </row>
    <row r="41" ht="15" customHeight="1" s="35">
      <c r="A41" s="48" t="n">
        <v>31</v>
      </c>
      <c r="B41" s="47" t="inlineStr">
        <is>
          <t>74802012</t>
        </is>
      </c>
      <c r="C41" s="47" t="inlineStr">
        <is>
          <t>Công nghệ đa phương tiện</t>
        </is>
      </c>
    </row>
    <row r="42" ht="15" customHeight="1" s="35">
      <c r="A42" s="48" t="n">
        <v>32</v>
      </c>
      <c r="B42" s="47" t="inlineStr">
        <is>
          <t>7480201TA</t>
        </is>
      </c>
      <c r="C42" s="47" t="inlineStr">
        <is>
          <t>Công nghệ thông tin (CTĐT bằng tiếng Anh)</t>
        </is>
      </c>
    </row>
    <row r="43" ht="15" customHeight="1" s="35">
      <c r="A43" s="48" t="n">
        <v>33</v>
      </c>
      <c r="B43" s="47" t="inlineStr">
        <is>
          <t>74802021</t>
        </is>
      </c>
      <c r="C43" s="47" t="inlineStr">
        <is>
          <t>An toàn thông tin</t>
        </is>
      </c>
    </row>
    <row r="44" ht="15" customHeight="1" s="35">
      <c r="A44" s="48" t="n">
        <v>34</v>
      </c>
      <c r="B44" s="47" t="inlineStr">
        <is>
          <t>7510201</t>
        </is>
      </c>
      <c r="C44" s="47" t="inlineStr">
        <is>
          <t>Công nghệ kỹ thuật cơ khí</t>
        </is>
      </c>
    </row>
    <row r="45" ht="15" customHeight="1" s="35">
      <c r="A45" s="48" t="n">
        <v>35</v>
      </c>
      <c r="B45" s="47" t="inlineStr">
        <is>
          <t>75102012</t>
        </is>
      </c>
      <c r="C45" s="47" t="inlineStr">
        <is>
          <t>Công nghệ kỹ thuật khuôn mẫu</t>
        </is>
      </c>
    </row>
    <row r="46" ht="15" customHeight="1" s="35">
      <c r="A46" s="48" t="n">
        <v>36</v>
      </c>
      <c r="B46" s="47" t="inlineStr">
        <is>
          <t>75102013</t>
        </is>
      </c>
      <c r="C46" s="47" t="inlineStr">
        <is>
          <t>Thiết kế cơ khí và kiểu dáng công nghiệp</t>
        </is>
      </c>
    </row>
    <row r="47" ht="15" customHeight="1" s="35">
      <c r="A47" s="48" t="n">
        <v>37</v>
      </c>
      <c r="B47" s="47" t="inlineStr">
        <is>
          <t>7510201TA</t>
        </is>
      </c>
      <c r="C47" s="47" t="inlineStr">
        <is>
          <t>Công nghệ kỹ thuật cơ khí (CTĐT bằng tiếng Anh)</t>
        </is>
      </c>
    </row>
    <row r="48" ht="15" customHeight="1" s="35">
      <c r="A48" s="48" t="n">
        <v>38</v>
      </c>
      <c r="B48" s="47" t="inlineStr">
        <is>
          <t>7510203</t>
        </is>
      </c>
      <c r="C48" s="47" t="inlineStr">
        <is>
          <t>Công nghệ kỹ thuật cơ điện tử</t>
        </is>
      </c>
    </row>
    <row r="49" ht="15" customHeight="1" s="35">
      <c r="A49" s="48" t="n">
        <v>39</v>
      </c>
      <c r="B49" s="47" t="inlineStr">
        <is>
          <t>75102032</t>
        </is>
      </c>
      <c r="C49" s="47" t="inlineStr">
        <is>
          <t>Robot và trí tuệ nhân tạo</t>
        </is>
      </c>
    </row>
    <row r="50" ht="15" customHeight="1" s="35">
      <c r="A50" s="48" t="n">
        <v>40</v>
      </c>
      <c r="B50" s="47" t="inlineStr">
        <is>
          <t>75102033</t>
        </is>
      </c>
      <c r="C50" s="47" t="inlineStr">
        <is>
          <t>Công nghệ kỹ thuật cơ điện tử ô tô</t>
        </is>
      </c>
    </row>
    <row r="51" ht="15" customHeight="1" s="35">
      <c r="A51" s="48" t="n">
        <v>41</v>
      </c>
      <c r="B51" s="47" t="inlineStr">
        <is>
          <t>7510203TA</t>
        </is>
      </c>
      <c r="C51" s="47" t="inlineStr">
        <is>
          <t>Công nghệ kỹ thuật cơ điện tử (CTĐT bằng tiếng Anh)</t>
        </is>
      </c>
    </row>
    <row r="52" ht="15" customHeight="1" s="35">
      <c r="A52" s="48" t="n">
        <v>42</v>
      </c>
      <c r="B52" s="47" t="inlineStr">
        <is>
          <t>7510205</t>
        </is>
      </c>
      <c r="C52" s="47" t="inlineStr">
        <is>
          <t>Công nghệ kỹ thuật ô tô</t>
        </is>
      </c>
    </row>
    <row r="53" ht="15" customHeight="1" s="35">
      <c r="A53" s="48" t="n">
        <v>43</v>
      </c>
      <c r="B53" s="47" t="inlineStr">
        <is>
          <t>7510205TA</t>
        </is>
      </c>
      <c r="C53" s="47" t="inlineStr">
        <is>
          <t>Công nghệ kỹ thuật ô tô (CTĐT bằng tiếng Anh)</t>
        </is>
      </c>
    </row>
    <row r="54" ht="15" customHeight="1" s="35">
      <c r="A54" s="48" t="n">
        <v>44</v>
      </c>
      <c r="B54" s="47" t="inlineStr">
        <is>
          <t>7510206</t>
        </is>
      </c>
      <c r="C54" s="47" t="inlineStr">
        <is>
          <t>Công nghệ kỹ thuật nhiệt</t>
        </is>
      </c>
    </row>
    <row r="55" ht="15" customHeight="1" s="35">
      <c r="A55" s="48" t="n">
        <v>45</v>
      </c>
      <c r="B55" s="47" t="inlineStr">
        <is>
          <t>7510301</t>
        </is>
      </c>
      <c r="C55" s="47" t="inlineStr">
        <is>
          <t>Công nghệ kỹ thuật điện, điện tử</t>
        </is>
      </c>
    </row>
    <row r="56" ht="15" customHeight="1" s="35">
      <c r="A56" s="48" t="n">
        <v>46</v>
      </c>
      <c r="B56" s="47" t="inlineStr">
        <is>
          <t>7510301TA</t>
        </is>
      </c>
      <c r="C56" s="47" t="inlineStr">
        <is>
          <t>Công nghệ kỹ thuật điện, điện tử (CTĐT bằng tiếng Anh)</t>
        </is>
      </c>
    </row>
    <row r="57" ht="15" customHeight="1" s="35">
      <c r="A57" s="48" t="n">
        <v>47</v>
      </c>
      <c r="B57" s="47" t="inlineStr">
        <is>
          <t>7510302</t>
        </is>
      </c>
      <c r="C57" s="47" t="inlineStr">
        <is>
          <t>Công nghệ kỹ thuật điện tử – viễn thông</t>
        </is>
      </c>
    </row>
    <row r="58" ht="15" customHeight="1" s="35">
      <c r="A58" s="48" t="n">
        <v>48</v>
      </c>
      <c r="B58" s="47" t="inlineStr">
        <is>
          <t>75103021</t>
        </is>
      </c>
      <c r="C58" s="47" t="inlineStr">
        <is>
          <t>Công nghệ kỹ thuật điện tử y sinh</t>
        </is>
      </c>
    </row>
    <row r="59" ht="15" customHeight="1" s="35">
      <c r="A59" s="48" t="n">
        <v>49</v>
      </c>
      <c r="B59" s="47" t="inlineStr">
        <is>
          <t>7510302TA</t>
        </is>
      </c>
      <c r="C59" s="47" t="inlineStr">
        <is>
          <t>Công nghệ kỹ thuật điện tử – viễn thông (CTĐT bằng tiếng Anh)</t>
        </is>
      </c>
    </row>
    <row r="60" ht="15" customHeight="1" s="35">
      <c r="A60" s="48" t="n">
        <v>50</v>
      </c>
      <c r="B60" s="47" t="inlineStr">
        <is>
          <t>7510303</t>
        </is>
      </c>
      <c r="C60" s="47" t="inlineStr">
        <is>
          <t>Công nghệ kỹ thuật điều khiển và tự động hóa</t>
        </is>
      </c>
    </row>
    <row r="61" ht="15" customHeight="1" s="35">
      <c r="A61" s="48" t="n">
        <v>51</v>
      </c>
      <c r="B61" s="47" t="inlineStr">
        <is>
          <t>75103031</t>
        </is>
      </c>
      <c r="C61" s="47" t="inlineStr">
        <is>
          <t>Kỹ thuật sản xuất thông minh</t>
        </is>
      </c>
    </row>
    <row r="62" ht="15" customHeight="1" s="35">
      <c r="A62" s="48" t="n">
        <v>52</v>
      </c>
      <c r="B62" s="47" t="inlineStr">
        <is>
          <t>7510401</t>
        </is>
      </c>
      <c r="C62" s="47" t="inlineStr">
        <is>
          <t>Công nghệ kỹ thuật hóa học</t>
        </is>
      </c>
    </row>
    <row r="63" ht="15" customHeight="1" s="35">
      <c r="A63" s="48" t="n">
        <v>53</v>
      </c>
      <c r="B63" s="47" t="inlineStr">
        <is>
          <t>7510402</t>
        </is>
      </c>
      <c r="C63" s="47" t="inlineStr">
        <is>
          <t>Công nghệ vật liệu</t>
        </is>
      </c>
    </row>
    <row r="64" ht="15" customHeight="1" s="35">
      <c r="A64" s="48" t="n">
        <v>54</v>
      </c>
      <c r="B64" s="47" t="inlineStr">
        <is>
          <t>7510406</t>
        </is>
      </c>
      <c r="C64" s="47" t="inlineStr">
        <is>
          <t>Công nghệ kỹ thuật môi trường</t>
        </is>
      </c>
    </row>
    <row r="65" ht="15" customHeight="1" s="35">
      <c r="A65" s="48" t="n">
        <v>55</v>
      </c>
      <c r="B65" s="47" t="inlineStr">
        <is>
          <t>7510605</t>
        </is>
      </c>
      <c r="C65" s="47" t="inlineStr">
        <is>
          <t>Logistics và quản lý chuỗi cung ứng</t>
        </is>
      </c>
    </row>
    <row r="66" ht="15" customHeight="1" s="35">
      <c r="A66" s="48" t="n">
        <v>56</v>
      </c>
      <c r="B66" s="47" t="inlineStr">
        <is>
          <t>75190071</t>
        </is>
      </c>
      <c r="C66" s="47" t="inlineStr">
        <is>
          <t>Năng lượng tái tạo</t>
        </is>
      </c>
    </row>
    <row r="67" ht="15" customHeight="1" s="35">
      <c r="A67" s="48" t="n">
        <v>57</v>
      </c>
      <c r="B67" s="47" t="inlineStr">
        <is>
          <t>7520116</t>
        </is>
      </c>
      <c r="C67" s="47" t="inlineStr">
        <is>
          <t>Kỹ thuật cơ khí động lực</t>
        </is>
      </c>
    </row>
    <row r="68" ht="15" customHeight="1" s="35">
      <c r="A68" s="48" t="n">
        <v>58</v>
      </c>
      <c r="B68" s="47" t="inlineStr">
        <is>
          <t>7520118</t>
        </is>
      </c>
      <c r="C68" s="47" t="inlineStr">
        <is>
          <t>Kỹ thuật hệ thống công nghiệp</t>
        </is>
      </c>
    </row>
    <row r="69" ht="15" customHeight="1" s="35">
      <c r="A69" s="48" t="n">
        <v>59</v>
      </c>
      <c r="B69" s="47" t="inlineStr">
        <is>
          <t>7540101</t>
        </is>
      </c>
      <c r="C69" s="47" t="inlineStr">
        <is>
          <t>Công nghệ thực phẩm</t>
        </is>
      </c>
    </row>
    <row r="70" ht="15" customHeight="1" s="35">
      <c r="A70" s="48" t="n">
        <v>60</v>
      </c>
      <c r="B70" s="47" t="inlineStr">
        <is>
          <t>7540203</t>
        </is>
      </c>
      <c r="C70" s="47" t="inlineStr">
        <is>
          <t>Công nghệ vật liệu dệt, may</t>
        </is>
      </c>
    </row>
    <row r="71" ht="15" customHeight="1" s="35">
      <c r="A71" s="48" t="n">
        <v>61</v>
      </c>
      <c r="B71" s="47" t="inlineStr">
        <is>
          <t>7540204</t>
        </is>
      </c>
      <c r="C71" s="47" t="inlineStr">
        <is>
          <t>Công nghệ dệt, may</t>
        </is>
      </c>
    </row>
    <row r="72" ht="15" customHeight="1" s="35">
      <c r="A72" s="48" t="n">
        <v>62</v>
      </c>
      <c r="B72" s="47" t="inlineStr">
        <is>
          <t>7720203</t>
        </is>
      </c>
      <c r="C72" s="47" t="inlineStr">
        <is>
          <t>Hóa dược</t>
        </is>
      </c>
    </row>
    <row r="73" ht="15" customHeight="1" s="35">
      <c r="A73" s="48" t="n">
        <v>63</v>
      </c>
      <c r="B73" s="47" t="inlineStr">
        <is>
          <t>7810101</t>
        </is>
      </c>
      <c r="C73" s="47" t="inlineStr">
        <is>
          <t>Du lịch</t>
        </is>
      </c>
    </row>
    <row r="74" ht="15" customHeight="1" s="35">
      <c r="A74" s="48" t="n">
        <v>64</v>
      </c>
      <c r="B74" s="47" t="inlineStr">
        <is>
          <t>7810101TA</t>
        </is>
      </c>
      <c r="C74" s="47" t="inlineStr">
        <is>
          <t>Du lịch (CTĐT bằng tiếng Anh)</t>
        </is>
      </c>
    </row>
    <row r="75" ht="15" customHeight="1" s="35">
      <c r="A75" s="48" t="n">
        <v>65</v>
      </c>
      <c r="B75" s="47" t="inlineStr">
        <is>
          <t>7810103</t>
        </is>
      </c>
      <c r="C75" s="47" t="inlineStr">
        <is>
          <t>Quản trị dịch vụ du lịch và lữ hành</t>
        </is>
      </c>
    </row>
    <row r="76" ht="15" customHeight="1" s="35">
      <c r="A76" s="48" t="n">
        <v>66</v>
      </c>
      <c r="B76" s="47" t="inlineStr">
        <is>
          <t>7810103TA</t>
        </is>
      </c>
      <c r="C76" s="47" t="inlineStr">
        <is>
          <t>Quản trị dịch vụ du lịch và lữ hành (CTĐT bằng tiếng Anh)</t>
        </is>
      </c>
    </row>
    <row r="77" ht="15" customHeight="1" s="35">
      <c r="A77" s="48" t="n">
        <v>67</v>
      </c>
      <c r="B77" s="47" t="inlineStr">
        <is>
          <t>7810201</t>
        </is>
      </c>
      <c r="C77" s="47" t="inlineStr">
        <is>
          <t>Quản trị khách sạn</t>
        </is>
      </c>
    </row>
    <row r="78" ht="15" customHeight="1" s="35">
      <c r="A78" s="48" t="n">
        <v>68</v>
      </c>
      <c r="B78" s="47" t="inlineStr">
        <is>
          <t>7810201TA</t>
        </is>
      </c>
      <c r="C78" s="47" t="inlineStr">
        <is>
          <t>Quản trị khách sạn (CTĐT bằng tiếng Anh)</t>
        </is>
      </c>
    </row>
    <row r="79" ht="15" customHeight="1" s="35">
      <c r="A79" s="48" t="n">
        <v>69</v>
      </c>
      <c r="B79" s="47" t="inlineStr">
        <is>
          <t>7810202</t>
        </is>
      </c>
      <c r="C79" s="47" t="inlineStr">
        <is>
          <t>Quản trị nhà hàng và dịch vụ ăn uống</t>
        </is>
      </c>
    </row>
    <row r="80" ht="15" customHeight="1" s="35">
      <c r="A80" s="48" t="n">
        <v>70</v>
      </c>
      <c r="B80" s="47" t="inlineStr">
        <is>
          <t>7810202TA</t>
        </is>
      </c>
      <c r="C80" s="47" t="inlineStr">
        <is>
          <t>Quản trị nhà hàng và dịch vụ ăn uống (CTĐT bằng tiếng Anh)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aui.edu.vn/" r:id="rId2"/>
    <hyperlink xmlns:r="http://schemas.openxmlformats.org/officeDocument/2006/relationships" ref="B6" display="https://tuyensinh.haui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Học viện Công nghệ Bưu chính Viễn thông (PTIT)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https://ptit.edu.vn/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https://tuyensinh.ptit.edu.vn/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ngành/chương trình chính quy 2026 (cơ sở Hà Nội). Nguồn: ptit.edu.vn và các trang tuyển sinh.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7520207</t>
        </is>
      </c>
      <c r="C11" s="34" t="inlineStr">
        <is>
          <t>Kỹ thuật Điện tử viễn thông</t>
        </is>
      </c>
    </row>
    <row r="12">
      <c r="A12" s="34" t="n">
        <v>2</v>
      </c>
      <c r="B12" s="34" t="inlineStr">
        <is>
          <t>7520207AT</t>
        </is>
      </c>
      <c r="C12" s="34" t="inlineStr">
        <is>
          <t>Trí tuệ nhân tạo vạn vật (AIoT)</t>
        </is>
      </c>
    </row>
    <row r="13">
      <c r="A13" s="34" t="n">
        <v>3</v>
      </c>
      <c r="B13" s="34" t="inlineStr">
        <is>
          <t>7520216</t>
        </is>
      </c>
      <c r="C13" s="34" t="inlineStr">
        <is>
          <t>Kỹ thuật Điều khiển và tự động hóa</t>
        </is>
      </c>
    </row>
    <row r="14">
      <c r="A14" s="34" t="n">
        <v>4</v>
      </c>
      <c r="B14" s="34" t="inlineStr">
        <is>
          <t>7510301</t>
        </is>
      </c>
      <c r="C14" s="34" t="inlineStr">
        <is>
          <t>Công nghệ Kỹ thuật Điện, điện tử</t>
        </is>
      </c>
    </row>
    <row r="15">
      <c r="A15" s="34" t="n">
        <v>5</v>
      </c>
      <c r="B15" s="34" t="inlineStr">
        <is>
          <t>7510301VM</t>
        </is>
      </c>
      <c r="C15" s="34" t="inlineStr">
        <is>
          <t>Công nghệ vi mạch bán dẫn</t>
        </is>
      </c>
    </row>
    <row r="16">
      <c r="A16" s="34" t="n">
        <v>6</v>
      </c>
      <c r="B16" s="34" t="inlineStr">
        <is>
          <t>7480201</t>
        </is>
      </c>
      <c r="C16" s="34" t="inlineStr">
        <is>
          <t>Công nghệ thông tin</t>
        </is>
      </c>
    </row>
    <row r="17">
      <c r="A17" s="34" t="n">
        <v>7</v>
      </c>
      <c r="B17" s="34" t="inlineStr">
        <is>
          <t>7480107</t>
        </is>
      </c>
      <c r="C17" s="34" t="inlineStr">
        <is>
          <t>Trí tuệ nhân tạo</t>
        </is>
      </c>
    </row>
    <row r="18">
      <c r="A18" s="34" t="n">
        <v>8</v>
      </c>
      <c r="B18" s="34" t="inlineStr">
        <is>
          <t>7480202</t>
        </is>
      </c>
      <c r="C18" s="34" t="inlineStr">
        <is>
          <t>An toàn thông tin</t>
        </is>
      </c>
    </row>
    <row r="19">
      <c r="A19" s="34" t="n">
        <v>9</v>
      </c>
      <c r="B19" s="34" t="inlineStr">
        <is>
          <t>7480101</t>
        </is>
      </c>
      <c r="C19" s="34" t="inlineStr">
        <is>
          <t>Khoa học máy tính / Khoa học dữ liệu</t>
        </is>
      </c>
    </row>
    <row r="20">
      <c r="A20" s="34" t="n">
        <v>10</v>
      </c>
      <c r="B20" s="34" t="inlineStr">
        <is>
          <t>7480102</t>
        </is>
      </c>
      <c r="C20" s="34" t="inlineStr">
        <is>
          <t>Kỹ thuật dữ liệu</t>
        </is>
      </c>
    </row>
    <row r="21">
      <c r="A21" s="34" t="n">
        <v>11</v>
      </c>
      <c r="B21" s="34" t="inlineStr">
        <is>
          <t>7520208</t>
        </is>
      </c>
      <c r="C21" s="34" t="inlineStr">
        <is>
          <t>Công nghệ Internet vạn vật (IoT)</t>
        </is>
      </c>
    </row>
    <row r="22">
      <c r="A22" s="34" t="n">
        <v>12</v>
      </c>
      <c r="B22" s="34" t="inlineStr">
        <is>
          <t>7340101</t>
        </is>
      </c>
      <c r="C22" s="34" t="inlineStr">
        <is>
          <t>Quản trị kinh doanh</t>
        </is>
      </c>
    </row>
    <row r="23">
      <c r="A23" s="34" t="n">
        <v>13</v>
      </c>
      <c r="B23" s="34" t="inlineStr">
        <is>
          <t>7340115</t>
        </is>
      </c>
      <c r="C23" s="34" t="inlineStr">
        <is>
          <t>Marketing</t>
        </is>
      </c>
    </row>
    <row r="24">
      <c r="A24" s="34" t="n">
        <v>14</v>
      </c>
      <c r="B24" s="34" t="inlineStr">
        <is>
          <t>7340301</t>
        </is>
      </c>
      <c r="C24" s="34" t="inlineStr">
        <is>
          <t>Kế toán</t>
        </is>
      </c>
    </row>
    <row r="25">
      <c r="A25" s="34" t="n">
        <v>15</v>
      </c>
      <c r="B25" s="34" t="inlineStr">
        <is>
          <t>7340201</t>
        </is>
      </c>
      <c r="C25" s="34" t="inlineStr">
        <is>
          <t>Tài chính - Ngân hàng / Công nghệ tài chính</t>
        </is>
      </c>
    </row>
    <row r="26">
      <c r="A26" s="34" t="n">
        <v>16</v>
      </c>
      <c r="B26" s="34" t="inlineStr">
        <is>
          <t>7320104</t>
        </is>
      </c>
      <c r="C26" s="34" t="inlineStr">
        <is>
          <t>Truyền thông đa phương tiện</t>
        </is>
      </c>
    </row>
    <row r="27">
      <c r="A27" s="34" t="n">
        <v>17</v>
      </c>
      <c r="B27" s="34" t="inlineStr">
        <is>
          <t>7329001</t>
        </is>
      </c>
      <c r="C27" s="34" t="inlineStr">
        <is>
          <t>Công nghệ đa phương tiện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ptit.edu.vn/" r:id="rId2"/>
    <hyperlink xmlns:r="http://schemas.openxmlformats.org/officeDocument/2006/relationships" ref="B6" display="https://tuyensinh.ptit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Học viện Kỹ thuật Mật mã (KMA)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https://actvn.edu.vn/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https://tuyensinh.actvn.edu.vn/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 (3 ngành chính). Nguồn: actvn.edu.vn và các trang tuyển sinh.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7480201</t>
        </is>
      </c>
      <c r="C11" s="34" t="inlineStr">
        <is>
          <t>Công nghệ thông tin</t>
        </is>
      </c>
    </row>
    <row r="12">
      <c r="A12" s="34" t="n">
        <v>2</v>
      </c>
      <c r="B12" s="34" t="inlineStr">
        <is>
          <t>7480202</t>
        </is>
      </c>
      <c r="C12" s="34" t="inlineStr">
        <is>
          <t>An toàn thông tin</t>
        </is>
      </c>
    </row>
    <row r="13">
      <c r="A13" s="34" t="n">
        <v>3</v>
      </c>
      <c r="B13" s="34" t="inlineStr">
        <is>
          <t>7520207</t>
        </is>
      </c>
      <c r="C13" s="34" t="inlineStr">
        <is>
          <t>Kỹ thuật Điện tử – Viễn thông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actvn.edu.vn/" r:id="rId2"/>
    <hyperlink xmlns:r="http://schemas.openxmlformats.org/officeDocument/2006/relationships" ref="B6" display="https://tuyensinh.actvn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Học viện Tài chính (AOF)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https://hvtc.edu.vn/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https://tuyensinh.hvtc.edu.vn/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2025-2026. Nguồn: các trang tuyển sinh HV Tài chính.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7220201</t>
        </is>
      </c>
      <c r="C11" s="34" t="inlineStr">
        <is>
          <t>Ngôn ngữ Anh (Tiếng Anh tài chính kế toán)</t>
        </is>
      </c>
    </row>
    <row r="12">
      <c r="A12" s="34" t="n">
        <v>2</v>
      </c>
      <c r="B12" s="34" t="inlineStr">
        <is>
          <t>7310101</t>
        </is>
      </c>
      <c r="C12" s="34" t="inlineStr">
        <is>
          <t>Kinh tế và quản lý nguồn lực tài chính</t>
        </is>
      </c>
    </row>
    <row r="13">
      <c r="A13" s="34" t="n">
        <v>3</v>
      </c>
      <c r="B13" s="34" t="inlineStr">
        <is>
          <t>7310102</t>
        </is>
      </c>
      <c r="C13" s="34" t="inlineStr">
        <is>
          <t>Kinh tế chính trị - tài chính</t>
        </is>
      </c>
    </row>
    <row r="14">
      <c r="A14" s="34" t="n">
        <v>4</v>
      </c>
      <c r="B14" s="34" t="inlineStr">
        <is>
          <t>7310104</t>
        </is>
      </c>
      <c r="C14" s="34" t="inlineStr">
        <is>
          <t>Kinh tế đầu tư</t>
        </is>
      </c>
    </row>
    <row r="15">
      <c r="A15" s="34" t="n">
        <v>5</v>
      </c>
      <c r="B15" s="34" t="inlineStr">
        <is>
          <t>7310108</t>
        </is>
      </c>
      <c r="C15" s="34" t="inlineStr">
        <is>
          <t>Toán tài chính</t>
        </is>
      </c>
    </row>
    <row r="16">
      <c r="A16" s="34" t="n">
        <v>6</v>
      </c>
      <c r="B16" s="34" t="inlineStr">
        <is>
          <t>7340101</t>
        </is>
      </c>
      <c r="C16" s="34" t="inlineStr">
        <is>
          <t>Quản trị doanh nghiệp / Quản trị kinh doanh</t>
        </is>
      </c>
    </row>
    <row r="17">
      <c r="A17" s="34" t="n">
        <v>7</v>
      </c>
      <c r="B17" s="34" t="inlineStr">
        <is>
          <t>7340115</t>
        </is>
      </c>
      <c r="C17" s="34" t="inlineStr">
        <is>
          <t>Marketing</t>
        </is>
      </c>
    </row>
    <row r="18">
      <c r="A18" s="34" t="n">
        <v>8</v>
      </c>
      <c r="B18" s="34" t="inlineStr">
        <is>
          <t>7340116</t>
        </is>
      </c>
      <c r="C18" s="34" t="inlineStr">
        <is>
          <t>Thẩm định giá và kinh doanh bất động sản</t>
        </is>
      </c>
    </row>
    <row r="19">
      <c r="A19" s="34" t="n">
        <v>9</v>
      </c>
      <c r="B19" s="34" t="inlineStr">
        <is>
          <t>7340120</t>
        </is>
      </c>
      <c r="C19" s="34" t="inlineStr">
        <is>
          <t>Kinh doanh quốc tế</t>
        </is>
      </c>
    </row>
    <row r="20">
      <c r="A20" s="34" t="n">
        <v>10</v>
      </c>
      <c r="B20" s="34" t="inlineStr">
        <is>
          <t>7340201</t>
        </is>
      </c>
      <c r="C20" s="34" t="inlineStr">
        <is>
          <t>Tài chính - Ngân hàng (các chuyên ngành)</t>
        </is>
      </c>
    </row>
    <row r="21">
      <c r="A21" s="34" t="n">
        <v>11</v>
      </c>
      <c r="B21" s="34" t="inlineStr">
        <is>
          <t>7340204</t>
        </is>
      </c>
      <c r="C21" s="34" t="inlineStr">
        <is>
          <t>Tài chính bảo hiểm</t>
        </is>
      </c>
    </row>
    <row r="22">
      <c r="A22" s="34" t="n">
        <v>12</v>
      </c>
      <c r="B22" s="34" t="inlineStr">
        <is>
          <t>7340301</t>
        </is>
      </c>
      <c r="C22" s="34" t="inlineStr">
        <is>
          <t>Kế toán (doanh nghiệp, công)</t>
        </is>
      </c>
    </row>
    <row r="23">
      <c r="A23" s="34" t="n">
        <v>13</v>
      </c>
      <c r="B23" s="34" t="inlineStr">
        <is>
          <t>7340302</t>
        </is>
      </c>
      <c r="C23" s="34" t="inlineStr">
        <is>
          <t>Kiểm toán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vtc.edu.vn/" r:id="rId2"/>
    <hyperlink xmlns:r="http://schemas.openxmlformats.org/officeDocument/2006/relationships" ref="B6" display="https://tuyensinh.hvtc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Học viện Ngân hàng (BA)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https://hvnh.edu.vn/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https://tuyensinh.hvnh.edu.vn/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ngành/chương trình chính quy 2026. Nguồn: các trang tuyển sinh HV Ngân hàng.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ACT01</t>
        </is>
      </c>
      <c r="C11" s="34" t="inlineStr">
        <is>
          <t>Kế toán (Chất lượng cao)</t>
        </is>
      </c>
    </row>
    <row r="12">
      <c r="A12" s="34" t="n">
        <v>2</v>
      </c>
      <c r="B12" s="34" t="inlineStr">
        <is>
          <t>ACT02</t>
        </is>
      </c>
      <c r="C12" s="34" t="inlineStr">
        <is>
          <t>Kế toán</t>
        </is>
      </c>
    </row>
    <row r="13">
      <c r="A13" s="34" t="n">
        <v>3</v>
      </c>
      <c r="B13" s="34" t="inlineStr">
        <is>
          <t>ACT03</t>
        </is>
      </c>
      <c r="C13" s="34" t="inlineStr">
        <is>
          <t>Kế toán (Liên kết ĐH Sunderland)</t>
        </is>
      </c>
    </row>
    <row r="14">
      <c r="A14" s="34" t="n">
        <v>4</v>
      </c>
      <c r="B14" s="34" t="inlineStr">
        <is>
          <t>ACT04</t>
        </is>
      </c>
      <c r="C14" s="34" t="inlineStr">
        <is>
          <t>Kiểm toán</t>
        </is>
      </c>
    </row>
    <row r="15">
      <c r="A15" s="34" t="n">
        <v>5</v>
      </c>
      <c r="B15" s="34" t="inlineStr">
        <is>
          <t>ACT05</t>
        </is>
      </c>
      <c r="C15" s="34" t="inlineStr">
        <is>
          <t>Kiểm toán (Chất lượng cao)</t>
        </is>
      </c>
    </row>
    <row r="16">
      <c r="A16" s="34" t="n">
        <v>6</v>
      </c>
      <c r="B16" s="34" t="inlineStr">
        <is>
          <t>ACT06</t>
        </is>
      </c>
      <c r="C16" s="34" t="inlineStr">
        <is>
          <t>Kế toán (Định hướng Nhật Bản)</t>
        </is>
      </c>
    </row>
    <row r="17">
      <c r="A17" s="34" t="n">
        <v>7</v>
      </c>
      <c r="B17" s="34" t="inlineStr">
        <is>
          <t>BANK01</t>
        </is>
      </c>
      <c r="C17" s="34" t="inlineStr">
        <is>
          <t>Ngân hàng (Chất lượng cao)</t>
        </is>
      </c>
    </row>
    <row r="18">
      <c r="A18" s="34" t="n">
        <v>8</v>
      </c>
      <c r="B18" s="34" t="inlineStr">
        <is>
          <t>BANK02</t>
        </is>
      </c>
      <c r="C18" s="34" t="inlineStr">
        <is>
          <t>Ngân hàng</t>
        </is>
      </c>
    </row>
    <row r="19">
      <c r="A19" s="34" t="n">
        <v>9</v>
      </c>
      <c r="B19" s="34" t="inlineStr">
        <is>
          <t>BANK03</t>
        </is>
      </c>
      <c r="C19" s="34" t="inlineStr">
        <is>
          <t>Ngân hàng số</t>
        </is>
      </c>
    </row>
    <row r="20">
      <c r="A20" s="34" t="n">
        <v>10</v>
      </c>
      <c r="B20" s="34" t="inlineStr">
        <is>
          <t>BANK04</t>
        </is>
      </c>
      <c r="C20" s="34" t="inlineStr">
        <is>
          <t>Tài chính-Ngân hàng (Liên kết Sunderland)</t>
        </is>
      </c>
    </row>
    <row r="21">
      <c r="A21" s="34" t="n">
        <v>11</v>
      </c>
      <c r="B21" s="34" t="inlineStr">
        <is>
          <t>BANK06</t>
        </is>
      </c>
      <c r="C21" s="34" t="inlineStr">
        <is>
          <t>Ngân hàng và Tài chính quốc tế (CLC)</t>
        </is>
      </c>
    </row>
    <row r="22">
      <c r="A22" s="34" t="n">
        <v>12</v>
      </c>
      <c r="B22" s="34" t="inlineStr">
        <is>
          <t>BANK07</t>
        </is>
      </c>
      <c r="C22" s="34" t="inlineStr">
        <is>
          <t>Ngân hàng trung ương và chính sách công (CLC)</t>
        </is>
      </c>
    </row>
    <row r="23">
      <c r="A23" s="34" t="n">
        <v>13</v>
      </c>
      <c r="B23" s="34" t="inlineStr">
        <is>
          <t>BUS01</t>
        </is>
      </c>
      <c r="C23" s="34" t="inlineStr">
        <is>
          <t>Quản trị kinh doanh (CLC)</t>
        </is>
      </c>
    </row>
    <row r="24">
      <c r="A24" s="34" t="n">
        <v>14</v>
      </c>
      <c r="B24" s="34" t="inlineStr">
        <is>
          <t>BUS02</t>
        </is>
      </c>
      <c r="C24" s="34" t="inlineStr">
        <is>
          <t>Quản trị kinh doanh</t>
        </is>
      </c>
    </row>
    <row r="25">
      <c r="A25" s="34" t="n">
        <v>15</v>
      </c>
      <c r="B25" s="34" t="inlineStr">
        <is>
          <t>BUS03</t>
        </is>
      </c>
      <c r="C25" s="34" t="inlineStr">
        <is>
          <t>Quản trị du lịch</t>
        </is>
      </c>
    </row>
    <row r="26">
      <c r="A26" s="34" t="n">
        <v>16</v>
      </c>
      <c r="B26" s="34" t="inlineStr">
        <is>
          <t>BUS07</t>
        </is>
      </c>
      <c r="C26" s="34" t="inlineStr">
        <is>
          <t>Marketing</t>
        </is>
      </c>
    </row>
    <row r="27">
      <c r="A27" s="34" t="n">
        <v>17</v>
      </c>
      <c r="B27" s="34" t="inlineStr">
        <is>
          <t>FIN02</t>
        </is>
      </c>
      <c r="C27" s="34" t="inlineStr">
        <is>
          <t>Tài chính</t>
        </is>
      </c>
    </row>
    <row r="28">
      <c r="A28" s="34" t="n">
        <v>18</v>
      </c>
      <c r="B28" s="34" t="inlineStr">
        <is>
          <t>FIN03</t>
        </is>
      </c>
      <c r="C28" s="34" t="inlineStr">
        <is>
          <t>Công nghệ tài chính</t>
        </is>
      </c>
    </row>
    <row r="29">
      <c r="A29" s="34" t="n">
        <v>19</v>
      </c>
      <c r="B29" s="34" t="inlineStr">
        <is>
          <t>FL01</t>
        </is>
      </c>
      <c r="C29" s="34" t="inlineStr">
        <is>
          <t>Ngôn ngữ Anh Tài chính - Ngân hàng</t>
        </is>
      </c>
    </row>
    <row r="30">
      <c r="A30" s="34" t="n">
        <v>20</v>
      </c>
      <c r="B30" s="34" t="inlineStr">
        <is>
          <t>ECON01</t>
        </is>
      </c>
      <c r="C30" s="34" t="inlineStr">
        <is>
          <t>Kinh tế đầu tư</t>
        </is>
      </c>
    </row>
    <row r="31">
      <c r="A31" s="34" t="n">
        <v>21</v>
      </c>
      <c r="B31" s="34" t="inlineStr">
        <is>
          <t>DS01</t>
        </is>
      </c>
      <c r="C31" s="34" t="inlineStr">
        <is>
          <t>Khoa học dữ liệu trong kinh tế và kinh doanh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vnh.edu.vn/" r:id="rId2"/>
    <hyperlink xmlns:r="http://schemas.openxmlformats.org/officeDocument/2006/relationships" ref="B6" display="https://tuyensinh.hvnh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Học viện Ngoại giao (DAV)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https://dav.edu.vn/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https://tuyensinh.dav.edu.vn/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điểm chuẩn và danh mục DAV.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HQT01</t>
        </is>
      </c>
      <c r="C11" s="34" t="inlineStr">
        <is>
          <t>Quan hệ quốc tế</t>
        </is>
      </c>
    </row>
    <row r="12">
      <c r="A12" s="34" t="n">
        <v>2</v>
      </c>
      <c r="B12" s="34" t="inlineStr">
        <is>
          <t>HQT02</t>
        </is>
      </c>
      <c r="C12" s="34" t="inlineStr">
        <is>
          <t>Ngôn ngữ Anh</t>
        </is>
      </c>
    </row>
    <row r="13">
      <c r="A13" s="34" t="n">
        <v>3</v>
      </c>
      <c r="B13" s="34" t="inlineStr">
        <is>
          <t>HQT03</t>
        </is>
      </c>
      <c r="C13" s="34" t="inlineStr">
        <is>
          <t>Kinh tế quốc tế</t>
        </is>
      </c>
    </row>
    <row r="14">
      <c r="A14" s="34" t="n">
        <v>4</v>
      </c>
      <c r="B14" s="34" t="inlineStr">
        <is>
          <t>HQT04</t>
        </is>
      </c>
      <c r="C14" s="34" t="inlineStr">
        <is>
          <t>Luật quốc tế</t>
        </is>
      </c>
    </row>
    <row r="15">
      <c r="A15" s="34" t="n">
        <v>5</v>
      </c>
      <c r="B15" s="34" t="inlineStr">
        <is>
          <t>HQT05</t>
        </is>
      </c>
      <c r="C15" s="34" t="inlineStr">
        <is>
          <t>Truyền thông quốc tế</t>
        </is>
      </c>
    </row>
    <row r="16">
      <c r="A16" s="34" t="n">
        <v>6</v>
      </c>
      <c r="B16" s="34" t="inlineStr">
        <is>
          <t>HQT06</t>
        </is>
      </c>
      <c r="C16" s="34" t="inlineStr">
        <is>
          <t>Kinh doanh quốc tế</t>
        </is>
      </c>
    </row>
    <row r="17">
      <c r="A17" s="34" t="n">
        <v>7</v>
      </c>
      <c r="B17" s="34" t="inlineStr">
        <is>
          <t>HQT07</t>
        </is>
      </c>
      <c r="C17" s="34" t="inlineStr">
        <is>
          <t>Luật thương mại quốc tế</t>
        </is>
      </c>
    </row>
    <row r="18">
      <c r="A18" s="34" t="n">
        <v>8</v>
      </c>
      <c r="B18" s="34" t="inlineStr">
        <is>
          <t>HQT08</t>
        </is>
      </c>
      <c r="C18" s="34" t="inlineStr">
        <is>
          <t>Hàn Quốc học</t>
        </is>
      </c>
    </row>
    <row r="19">
      <c r="A19" s="34" t="n">
        <v>9</v>
      </c>
      <c r="B19" s="34" t="inlineStr">
        <is>
          <t>HQT09</t>
        </is>
      </c>
      <c r="C19" s="34" t="inlineStr">
        <is>
          <t>Hoa Kỳ học</t>
        </is>
      </c>
    </row>
    <row r="20">
      <c r="A20" s="34" t="n">
        <v>10</v>
      </c>
      <c r="B20" s="34" t="inlineStr">
        <is>
          <t>HQT10</t>
        </is>
      </c>
      <c r="C20" s="34" t="inlineStr">
        <is>
          <t>Nhật Bản học</t>
        </is>
      </c>
    </row>
    <row r="21">
      <c r="A21" s="34" t="n">
        <v>11</v>
      </c>
      <c r="B21" s="34" t="inlineStr">
        <is>
          <t>HQT11</t>
        </is>
      </c>
      <c r="C21" s="34" t="inlineStr">
        <is>
          <t>Trung Quốc học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dav.edu.vn/" r:id="rId2"/>
    <hyperlink xmlns:r="http://schemas.openxmlformats.org/officeDocument/2006/relationships" ref="B6" display="https://tuyensinh.dav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Đại học Y Hà Nội (HMU)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https://hmu.edu.vn/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https://hmu.edu.vn/ (mục Tuyển sinh)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đề án và điểm chuẩn HMU.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7720101</t>
        </is>
      </c>
      <c r="C11" s="34" t="inlineStr">
        <is>
          <t>Y khoa</t>
        </is>
      </c>
    </row>
    <row r="12">
      <c r="A12" s="34" t="n">
        <v>2</v>
      </c>
      <c r="B12" s="34" t="inlineStr">
        <is>
          <t>7720101YHT</t>
        </is>
      </c>
      <c r="C12" s="34" t="inlineStr">
        <is>
          <t>Y khoa (Phân hiệu Thanh Hóa)</t>
        </is>
      </c>
    </row>
    <row r="13">
      <c r="A13" s="34" t="n">
        <v>3</v>
      </c>
      <c r="B13" s="34" t="inlineStr">
        <is>
          <t>7720501</t>
        </is>
      </c>
      <c r="C13" s="34" t="inlineStr">
        <is>
          <t>Răng-Hàm-Mặt</t>
        </is>
      </c>
    </row>
    <row r="14">
      <c r="A14" s="34" t="n">
        <v>4</v>
      </c>
      <c r="B14" s="34" t="inlineStr">
        <is>
          <t>7720115</t>
        </is>
      </c>
      <c r="C14" s="34" t="inlineStr">
        <is>
          <t>Y học cổ truyền</t>
        </is>
      </c>
    </row>
    <row r="15">
      <c r="A15" s="34" t="n">
        <v>5</v>
      </c>
      <c r="B15" s="34" t="inlineStr">
        <is>
          <t>7720110</t>
        </is>
      </c>
      <c r="C15" s="34" t="inlineStr">
        <is>
          <t>Y học dự phòng</t>
        </is>
      </c>
    </row>
    <row r="16">
      <c r="A16" s="34" t="n">
        <v>6</v>
      </c>
      <c r="B16" s="34" t="inlineStr">
        <is>
          <t>7720301</t>
        </is>
      </c>
      <c r="C16" s="34" t="inlineStr">
        <is>
          <t>Điều dưỡng (Chương trình tiên tiến)</t>
        </is>
      </c>
    </row>
    <row r="17">
      <c r="A17" s="34" t="n">
        <v>7</v>
      </c>
      <c r="B17" s="34" t="inlineStr">
        <is>
          <t>7720301YHT</t>
        </is>
      </c>
      <c r="C17" s="34" t="inlineStr">
        <is>
          <t>Điều dưỡng (Phân hiệu Thanh Hóa)</t>
        </is>
      </c>
    </row>
    <row r="18">
      <c r="A18" s="34" t="n">
        <v>8</v>
      </c>
      <c r="B18" s="34" t="inlineStr">
        <is>
          <t>7720302</t>
        </is>
      </c>
      <c r="C18" s="34" t="inlineStr">
        <is>
          <t>Hộ sinh</t>
        </is>
      </c>
    </row>
    <row r="19">
      <c r="A19" s="34" t="n">
        <v>9</v>
      </c>
      <c r="B19" s="34" t="inlineStr">
        <is>
          <t>7720502</t>
        </is>
      </c>
      <c r="C19" s="34" t="inlineStr">
        <is>
          <t>Kỹ thuật phục hình răng</t>
        </is>
      </c>
    </row>
    <row r="20">
      <c r="A20" s="34" t="n">
        <v>10</v>
      </c>
      <c r="B20" s="34" t="inlineStr">
        <is>
          <t>7720601</t>
        </is>
      </c>
      <c r="C20" s="34" t="inlineStr">
        <is>
          <t>Kỹ thuật xét nghiệm y học</t>
        </is>
      </c>
    </row>
    <row r="21">
      <c r="A21" s="34" t="n">
        <v>11</v>
      </c>
      <c r="B21" s="34" t="inlineStr">
        <is>
          <t>7720602</t>
        </is>
      </c>
      <c r="C21" s="34" t="inlineStr">
        <is>
          <t>Kỹ thuật hình ảnh y học</t>
        </is>
      </c>
    </row>
    <row r="22">
      <c r="A22" s="34" t="n">
        <v>12</v>
      </c>
      <c r="B22" s="34" t="inlineStr">
        <is>
          <t>7720603</t>
        </is>
      </c>
      <c r="C22" s="34" t="inlineStr">
        <is>
          <t>Kỹ thuật phục hồi chức năng</t>
        </is>
      </c>
    </row>
    <row r="23">
      <c r="A23" s="34" t="n">
        <v>13</v>
      </c>
      <c r="B23" s="34" t="inlineStr">
        <is>
          <t>7720609</t>
        </is>
      </c>
      <c r="C23" s="34" t="inlineStr">
        <is>
          <t>Khúc xạ nhãn khoa</t>
        </is>
      </c>
    </row>
    <row r="24">
      <c r="A24" s="34" t="n">
        <v>14</v>
      </c>
      <c r="B24" s="34" t="inlineStr">
        <is>
          <t>7720401</t>
        </is>
      </c>
      <c r="C24" s="34" t="inlineStr">
        <is>
          <t>Dinh dưỡng</t>
        </is>
      </c>
    </row>
    <row r="25">
      <c r="A25" s="34" t="n">
        <v>15</v>
      </c>
      <c r="B25" s="34" t="inlineStr">
        <is>
          <t>7720701</t>
        </is>
      </c>
      <c r="C25" s="34" t="inlineStr">
        <is>
          <t>Y tế công cộng</t>
        </is>
      </c>
    </row>
    <row r="26">
      <c r="A26" s="34" t="n">
        <v>16</v>
      </c>
      <c r="B26" s="34" t="inlineStr">
        <is>
          <t>7310401</t>
        </is>
      </c>
      <c r="C26" s="34" t="inlineStr">
        <is>
          <t>Tâm lý học</t>
        </is>
      </c>
    </row>
    <row r="27">
      <c r="A27" s="34" t="n">
        <v>17</v>
      </c>
      <c r="B27" s="34" t="inlineStr">
        <is>
          <t>7760101</t>
        </is>
      </c>
      <c r="C27" s="34" t="inlineStr">
        <is>
          <t>Công tác xã hội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mu.edu.vn/" r:id="rId2"/>
    <hyperlink xmlns:r="http://schemas.openxmlformats.org/officeDocument/2006/relationships" ref="B6" display="https://hmu.edu.vn/ (mục Tuyển sinh)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Đại học Dược Hà Nội (HUP)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https://hup.edu.vn/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https://tuyensinh.hup.edu.vn/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2025-2026. Nguồn: đề án HUP.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7720201</t>
        </is>
      </c>
      <c r="C11" s="34" t="inlineStr">
        <is>
          <t>Dược học</t>
        </is>
      </c>
    </row>
    <row r="12">
      <c r="A12" s="34" t="n">
        <v>2</v>
      </c>
      <c r="B12" s="34" t="inlineStr">
        <is>
          <t>7720203</t>
        </is>
      </c>
      <c r="C12" s="34" t="inlineStr">
        <is>
          <t>Hóa dược</t>
        </is>
      </c>
    </row>
    <row r="13">
      <c r="A13" s="34" t="n">
        <v>3</v>
      </c>
      <c r="B13" s="34" t="inlineStr">
        <is>
          <t>7440112</t>
        </is>
      </c>
      <c r="C13" s="34" t="inlineStr">
        <is>
          <t>Hóa học</t>
        </is>
      </c>
    </row>
    <row r="14">
      <c r="A14" s="34" t="n">
        <v>4</v>
      </c>
      <c r="B14" s="34" t="inlineStr">
        <is>
          <t>7420201</t>
        </is>
      </c>
      <c r="C14" s="34" t="inlineStr">
        <is>
          <t>Công nghệ sinh học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up.edu.vn/" r:id="rId2"/>
    <hyperlink xmlns:r="http://schemas.openxmlformats.org/officeDocument/2006/relationships" ref="B6" display="https://tuyensinh.hup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Đại học Y tế Công cộng (HUPH)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https://huph.edu.vn/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https://tuyensinh.huph.edu.vn/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các trang tuyển sinh HUPH.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7460108</t>
        </is>
      </c>
      <c r="C11" s="34" t="inlineStr">
        <is>
          <t>Khoa học dữ liệu</t>
        </is>
      </c>
    </row>
    <row r="12">
      <c r="A12" s="34" t="n">
        <v>2</v>
      </c>
      <c r="B12" s="34" t="inlineStr">
        <is>
          <t>7720401</t>
        </is>
      </c>
      <c r="C12" s="34" t="inlineStr">
        <is>
          <t>Dinh dưỡng</t>
        </is>
      </c>
    </row>
    <row r="13">
      <c r="A13" s="34" t="n">
        <v>3</v>
      </c>
      <c r="B13" s="34" t="inlineStr">
        <is>
          <t>7720601</t>
        </is>
      </c>
      <c r="C13" s="34" t="inlineStr">
        <is>
          <t>Kỹ thuật xét nghiệm y học</t>
        </is>
      </c>
    </row>
    <row r="14">
      <c r="A14" s="34" t="n">
        <v>4</v>
      </c>
      <c r="B14" s="34" t="inlineStr">
        <is>
          <t>7720603</t>
        </is>
      </c>
      <c r="C14" s="34" t="inlineStr">
        <is>
          <t>Kỹ thuật phục hồi chức năng</t>
        </is>
      </c>
    </row>
    <row r="15">
      <c r="A15" s="34" t="n">
        <v>5</v>
      </c>
      <c r="B15" s="34" t="inlineStr">
        <is>
          <t>7720701</t>
        </is>
      </c>
      <c r="C15" s="34" t="inlineStr">
        <is>
          <t>Y tế công cộng</t>
        </is>
      </c>
    </row>
    <row r="16">
      <c r="A16" s="34" t="n">
        <v>6</v>
      </c>
      <c r="B16" s="34" t="inlineStr">
        <is>
          <t>7760101</t>
        </is>
      </c>
      <c r="C16" s="34" t="inlineStr">
        <is>
          <t>Công tác xã hội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uph.edu.vn/" r:id="rId2"/>
    <hyperlink xmlns:r="http://schemas.openxmlformats.org/officeDocument/2006/relationships" ref="B6" display="https://tuyensinh.huph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Văn hóa Hà Nội (HUC)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https://huc.edu.vn/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https://tuyensinh.huc.edu.vn/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ngành/chuyên ngành chính quy 2026. Nguồn: các trang tuyển sinh HUC.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7220110</t>
        </is>
      </c>
      <c r="C11" s="34" t="inlineStr">
        <is>
          <t>Sáng tác văn học</t>
        </is>
      </c>
    </row>
    <row r="12">
      <c r="A12" s="34" t="n">
        <v>2</v>
      </c>
      <c r="B12" s="34" t="inlineStr">
        <is>
          <t>7220201</t>
        </is>
      </c>
      <c r="C12" s="34" t="inlineStr">
        <is>
          <t>Ngôn ngữ Anh</t>
        </is>
      </c>
    </row>
    <row r="13">
      <c r="A13" s="34" t="n">
        <v>3</v>
      </c>
      <c r="B13" s="34" t="inlineStr">
        <is>
          <t>7229040A</t>
        </is>
      </c>
      <c r="C13" s="34" t="inlineStr">
        <is>
          <t>Nghiên cứu văn hóa</t>
        </is>
      </c>
    </row>
    <row r="14">
      <c r="A14" s="34" t="n">
        <v>4</v>
      </c>
      <c r="B14" s="34" t="inlineStr">
        <is>
          <t>7229040B</t>
        </is>
      </c>
      <c r="C14" s="34" t="inlineStr">
        <is>
          <t>Văn hóa truyền thông</t>
        </is>
      </c>
    </row>
    <row r="15">
      <c r="A15" s="34" t="n">
        <v>5</v>
      </c>
      <c r="B15" s="34" t="inlineStr">
        <is>
          <t>7229040C</t>
        </is>
      </c>
      <c r="C15" s="34" t="inlineStr">
        <is>
          <t>Văn hóa đối ngoại</t>
        </is>
      </c>
    </row>
    <row r="16">
      <c r="A16" s="34" t="n">
        <v>6</v>
      </c>
      <c r="B16" s="34" t="inlineStr">
        <is>
          <t>7229042A</t>
        </is>
      </c>
      <c r="C16" s="34" t="inlineStr">
        <is>
          <t>Phát triển công nghiệp văn hóa</t>
        </is>
      </c>
    </row>
    <row r="17">
      <c r="A17" s="34" t="n">
        <v>7</v>
      </c>
      <c r="B17" s="34" t="inlineStr">
        <is>
          <t>7229042B</t>
        </is>
      </c>
      <c r="C17" s="34" t="inlineStr">
        <is>
          <t>Quản lý di sản văn hóa</t>
        </is>
      </c>
    </row>
    <row r="18">
      <c r="A18" s="34" t="n">
        <v>8</v>
      </c>
      <c r="B18" s="34" t="inlineStr">
        <is>
          <t>7229042C</t>
        </is>
      </c>
      <c r="C18" s="34" t="inlineStr">
        <is>
          <t>Tổ chức hoạt động nghệ thuật</t>
        </is>
      </c>
    </row>
    <row r="19">
      <c r="A19" s="34" t="n">
        <v>9</v>
      </c>
      <c r="B19" s="34" t="inlineStr">
        <is>
          <t>7229042D</t>
        </is>
      </c>
      <c r="C19" s="34" t="inlineStr">
        <is>
          <t>Tổ chức sự kiện văn hóa</t>
        </is>
      </c>
    </row>
    <row r="20">
      <c r="A20" s="34" t="n">
        <v>10</v>
      </c>
      <c r="B20" s="34" t="inlineStr">
        <is>
          <t>7320101</t>
        </is>
      </c>
      <c r="C20" s="34" t="inlineStr">
        <is>
          <t>Báo chí</t>
        </is>
      </c>
    </row>
    <row r="21">
      <c r="A21" s="34" t="n">
        <v>11</v>
      </c>
      <c r="B21" s="34" t="inlineStr">
        <is>
          <t>7320201A</t>
        </is>
      </c>
      <c r="C21" s="34" t="inlineStr">
        <is>
          <t>Quản trị thư viện</t>
        </is>
      </c>
    </row>
    <row r="22">
      <c r="A22" s="34" t="n">
        <v>12</v>
      </c>
      <c r="B22" s="34" t="inlineStr">
        <is>
          <t>7320201B</t>
        </is>
      </c>
      <c r="C22" s="34" t="inlineStr">
        <is>
          <t>Thư viện và thiết bị trường học</t>
        </is>
      </c>
    </row>
    <row r="23">
      <c r="A23" s="34" t="n">
        <v>13</v>
      </c>
      <c r="B23" s="34" t="inlineStr">
        <is>
          <t>7320205</t>
        </is>
      </c>
      <c r="C23" s="34" t="inlineStr">
        <is>
          <t>Quản lý thông tin</t>
        </is>
      </c>
    </row>
    <row r="24">
      <c r="A24" s="34" t="n">
        <v>14</v>
      </c>
      <c r="B24" s="34" t="inlineStr">
        <is>
          <t>7320305</t>
        </is>
      </c>
      <c r="C24" s="34" t="inlineStr">
        <is>
          <t>Bảo tàng học</t>
        </is>
      </c>
    </row>
    <row r="25">
      <c r="A25" s="34" t="n">
        <v>15</v>
      </c>
      <c r="B25" s="34" t="inlineStr">
        <is>
          <t>7320402</t>
        </is>
      </c>
      <c r="C25" s="34" t="inlineStr">
        <is>
          <t>Kinh doanh xuất bản phẩm</t>
        </is>
      </c>
    </row>
    <row r="26">
      <c r="A26" s="34" t="n">
        <v>16</v>
      </c>
      <c r="B26" s="34" t="inlineStr">
        <is>
          <t>7380101</t>
        </is>
      </c>
      <c r="C26" s="34" t="inlineStr">
        <is>
          <t>Luật</t>
        </is>
      </c>
    </row>
    <row r="27">
      <c r="A27" s="34" t="n">
        <v>17</v>
      </c>
      <c r="B27" s="34" t="inlineStr">
        <is>
          <t>7810101A</t>
        </is>
      </c>
      <c r="C27" s="34" t="inlineStr">
        <is>
          <t>Văn hóa du lịch</t>
        </is>
      </c>
    </row>
    <row r="28">
      <c r="A28" s="34" t="n">
        <v>18</v>
      </c>
      <c r="B28" s="34" t="inlineStr">
        <is>
          <t>7810101B</t>
        </is>
      </c>
      <c r="C28" s="34" t="inlineStr">
        <is>
          <t>Lữ hành, hướng dẫn du lịch</t>
        </is>
      </c>
    </row>
    <row r="29">
      <c r="A29" s="34" t="n">
        <v>19</v>
      </c>
      <c r="B29" s="34" t="inlineStr">
        <is>
          <t>7810101C</t>
        </is>
      </c>
      <c r="C29" s="34" t="inlineStr">
        <is>
          <t>Hướng dẫn du lịch quốc tế</t>
        </is>
      </c>
    </row>
    <row r="30">
      <c r="A30" s="34" t="n">
        <v>20</v>
      </c>
      <c r="B30" s="34" t="inlineStr">
        <is>
          <t>7810103A</t>
        </is>
      </c>
      <c r="C30" s="34" t="inlineStr">
        <is>
          <t>Quản trị kinh doanh du lịch</t>
        </is>
      </c>
    </row>
    <row r="31">
      <c r="A31" s="34" t="n">
        <v>21</v>
      </c>
      <c r="B31" s="34" t="inlineStr">
        <is>
          <t>7810103B</t>
        </is>
      </c>
      <c r="C31" s="34" t="inlineStr">
        <is>
          <t>Quản trị du lịch cộng đồng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uc.edu.vn/" r:id="rId2"/>
    <hyperlink xmlns:r="http://schemas.openxmlformats.org/officeDocument/2006/relationships" ref="B6" display="https://tuyensinh.huc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Mở Hà Nội (HOU)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https://hou.edu.vn/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https://tuyensinh.hou.edu.vn/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các trang tuyển sinh HOU.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7210403</t>
        </is>
      </c>
      <c r="C11" s="34" t="inlineStr">
        <is>
          <t>Thiết kế đồ họa</t>
        </is>
      </c>
    </row>
    <row r="12">
      <c r="A12" s="34" t="n">
        <v>2</v>
      </c>
      <c r="B12" s="34" t="inlineStr">
        <is>
          <t>7210404</t>
        </is>
      </c>
      <c r="C12" s="34" t="inlineStr">
        <is>
          <t>Thiết kế thời trang</t>
        </is>
      </c>
    </row>
    <row r="13">
      <c r="A13" s="34" t="n">
        <v>3</v>
      </c>
      <c r="B13" s="34" t="inlineStr">
        <is>
          <t>7220201</t>
        </is>
      </c>
      <c r="C13" s="34" t="inlineStr">
        <is>
          <t>Ngôn ngữ Anh</t>
        </is>
      </c>
    </row>
    <row r="14">
      <c r="A14" s="34" t="n">
        <v>4</v>
      </c>
      <c r="B14" s="34" t="inlineStr">
        <is>
          <t>7220204</t>
        </is>
      </c>
      <c r="C14" s="34" t="inlineStr">
        <is>
          <t>Ngôn ngữ Trung Quốc</t>
        </is>
      </c>
    </row>
    <row r="15">
      <c r="A15" s="34" t="n">
        <v>5</v>
      </c>
      <c r="B15" s="34" t="inlineStr">
        <is>
          <t>7340101</t>
        </is>
      </c>
      <c r="C15" s="34" t="inlineStr">
        <is>
          <t>Quản trị kinh doanh</t>
        </is>
      </c>
    </row>
    <row r="16">
      <c r="A16" s="34" t="n">
        <v>6</v>
      </c>
      <c r="B16" s="34" t="inlineStr">
        <is>
          <t>7340122</t>
        </is>
      </c>
      <c r="C16" s="34" t="inlineStr">
        <is>
          <t>Thương mại điện tử</t>
        </is>
      </c>
    </row>
    <row r="17">
      <c r="A17" s="34" t="n">
        <v>7</v>
      </c>
      <c r="B17" s="34" t="inlineStr">
        <is>
          <t>7340201</t>
        </is>
      </c>
      <c r="C17" s="34" t="inlineStr">
        <is>
          <t>Tài chính - Ngân hàng</t>
        </is>
      </c>
    </row>
    <row r="18">
      <c r="A18" s="34" t="n">
        <v>8</v>
      </c>
      <c r="B18" s="34" t="inlineStr">
        <is>
          <t>7340204</t>
        </is>
      </c>
      <c r="C18" s="34" t="inlineStr">
        <is>
          <t>Bảo hiểm</t>
        </is>
      </c>
    </row>
    <row r="19">
      <c r="A19" s="34" t="n">
        <v>9</v>
      </c>
      <c r="B19" s="34" t="inlineStr">
        <is>
          <t>7340301</t>
        </is>
      </c>
      <c r="C19" s="34" t="inlineStr">
        <is>
          <t>Kế toán</t>
        </is>
      </c>
    </row>
    <row r="20">
      <c r="A20" s="34" t="n">
        <v>10</v>
      </c>
      <c r="B20" s="34" t="inlineStr">
        <is>
          <t>7380101</t>
        </is>
      </c>
      <c r="C20" s="34" t="inlineStr">
        <is>
          <t>Luật</t>
        </is>
      </c>
    </row>
    <row r="21">
      <c r="A21" s="34" t="n">
        <v>11</v>
      </c>
      <c r="B21" s="34" t="inlineStr">
        <is>
          <t>7380107</t>
        </is>
      </c>
      <c r="C21" s="34" t="inlineStr">
        <is>
          <t>Luật kinh tế</t>
        </is>
      </c>
    </row>
    <row r="22">
      <c r="A22" s="34" t="n">
        <v>12</v>
      </c>
      <c r="B22" s="34" t="inlineStr">
        <is>
          <t>7380108</t>
        </is>
      </c>
      <c r="C22" s="34" t="inlineStr">
        <is>
          <t>Luật quốc tế</t>
        </is>
      </c>
    </row>
    <row r="23">
      <c r="A23" s="34" t="n">
        <v>13</v>
      </c>
      <c r="B23" s="34" t="inlineStr">
        <is>
          <t>7420201</t>
        </is>
      </c>
      <c r="C23" s="34" t="inlineStr">
        <is>
          <t>Công nghệ sinh học</t>
        </is>
      </c>
    </row>
    <row r="24">
      <c r="A24" s="34" t="n">
        <v>14</v>
      </c>
      <c r="B24" s="34" t="inlineStr">
        <is>
          <t>7480106</t>
        </is>
      </c>
      <c r="C24" s="34" t="inlineStr">
        <is>
          <t>Kỹ thuật máy tính</t>
        </is>
      </c>
    </row>
    <row r="25">
      <c r="A25" s="34" t="n">
        <v>15</v>
      </c>
      <c r="B25" s="34" t="inlineStr">
        <is>
          <t>7480201</t>
        </is>
      </c>
      <c r="C25" s="34" t="inlineStr">
        <is>
          <t>Công nghệ thông tin</t>
        </is>
      </c>
    </row>
    <row r="26">
      <c r="A26" s="34" t="n">
        <v>16</v>
      </c>
      <c r="B26" s="34" t="inlineStr">
        <is>
          <t>7510302</t>
        </is>
      </c>
      <c r="C26" s="34" t="inlineStr">
        <is>
          <t>Công nghệ kỹ thuật điện tử - viễn thông</t>
        </is>
      </c>
    </row>
    <row r="27">
      <c r="A27" s="34" t="n">
        <v>17</v>
      </c>
      <c r="B27" s="34" t="inlineStr">
        <is>
          <t>7510303</t>
        </is>
      </c>
      <c r="C27" s="34" t="inlineStr">
        <is>
          <t>Công nghệ kỹ thuật điều khiển và tự động hóa</t>
        </is>
      </c>
    </row>
    <row r="28">
      <c r="A28" s="34" t="n">
        <v>18</v>
      </c>
      <c r="B28" s="34" t="inlineStr">
        <is>
          <t>7540101</t>
        </is>
      </c>
      <c r="C28" s="34" t="inlineStr">
        <is>
          <t>Công nghệ thực phẩm</t>
        </is>
      </c>
    </row>
    <row r="29">
      <c r="A29" s="34" t="n">
        <v>19</v>
      </c>
      <c r="B29" s="34" t="inlineStr">
        <is>
          <t>7580101</t>
        </is>
      </c>
      <c r="C29" s="34" t="inlineStr">
        <is>
          <t>Kiến trúc</t>
        </is>
      </c>
    </row>
    <row r="30">
      <c r="A30" s="34" t="n">
        <v>20</v>
      </c>
      <c r="B30" s="34" t="inlineStr">
        <is>
          <t>7580108</t>
        </is>
      </c>
      <c r="C30" s="34" t="inlineStr">
        <is>
          <t>Thiết kế nội thất</t>
        </is>
      </c>
    </row>
    <row r="31">
      <c r="A31" s="34" t="n">
        <v>21</v>
      </c>
      <c r="B31" s="34" t="inlineStr">
        <is>
          <t>7810103</t>
        </is>
      </c>
      <c r="C31" s="34" t="inlineStr">
        <is>
          <t>Quản trị dịch vụ du lịch và lữ hành</t>
        </is>
      </c>
    </row>
    <row r="32">
      <c r="A32" s="34" t="n">
        <v>22</v>
      </c>
      <c r="B32" s="34" t="inlineStr">
        <is>
          <t>7810201</t>
        </is>
      </c>
      <c r="C32" s="34" t="inlineStr">
        <is>
          <t>Quản trị khách sạn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ou.edu.vn/" r:id="rId2"/>
    <hyperlink xmlns:r="http://schemas.openxmlformats.org/officeDocument/2006/relationships" ref="B6" display="https://tuyensinh.ho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Lao động - Xã hội (ULSA)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https://ulsa.edu.vn/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https://tuyensinh.ulsa.edu.vn/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2025-2026. Nguồn: các trang tuyển sinh ULSA.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7220201</t>
        </is>
      </c>
      <c r="C11" s="34" t="inlineStr">
        <is>
          <t>Ngôn ngữ Anh</t>
        </is>
      </c>
    </row>
    <row r="12">
      <c r="A12" s="34" t="n">
        <v>2</v>
      </c>
      <c r="B12" s="34" t="inlineStr">
        <is>
          <t>7310101</t>
        </is>
      </c>
      <c r="C12" s="34" t="inlineStr">
        <is>
          <t>Kinh tế</t>
        </is>
      </c>
    </row>
    <row r="13">
      <c r="A13" s="34" t="n">
        <v>3</v>
      </c>
      <c r="B13" s="34" t="inlineStr">
        <is>
          <t>7310401</t>
        </is>
      </c>
      <c r="C13" s="34" t="inlineStr">
        <is>
          <t>Tâm lý học</t>
        </is>
      </c>
    </row>
    <row r="14">
      <c r="A14" s="34" t="n">
        <v>4</v>
      </c>
      <c r="B14" s="34" t="inlineStr">
        <is>
          <t>7340101</t>
        </is>
      </c>
      <c r="C14" s="34" t="inlineStr">
        <is>
          <t>Quản trị kinh doanh</t>
        </is>
      </c>
    </row>
    <row r="15">
      <c r="A15" s="34" t="n">
        <v>5</v>
      </c>
      <c r="B15" s="34" t="inlineStr">
        <is>
          <t>7340201</t>
        </is>
      </c>
      <c r="C15" s="34" t="inlineStr">
        <is>
          <t>Tài chính - Ngân hàng</t>
        </is>
      </c>
    </row>
    <row r="16">
      <c r="A16" s="34" t="n">
        <v>6</v>
      </c>
      <c r="B16" s="34" t="inlineStr">
        <is>
          <t>7340204</t>
        </is>
      </c>
      <c r="C16" s="34" t="inlineStr">
        <is>
          <t>Bảo hiểm</t>
        </is>
      </c>
    </row>
    <row r="17">
      <c r="A17" s="34" t="n">
        <v>7</v>
      </c>
      <c r="B17" s="34" t="inlineStr">
        <is>
          <t>7340207</t>
        </is>
      </c>
      <c r="C17" s="34" t="inlineStr">
        <is>
          <t>Bảo hiểm - Tài chính</t>
        </is>
      </c>
    </row>
    <row r="18">
      <c r="A18" s="34" t="n">
        <v>8</v>
      </c>
      <c r="B18" s="34" t="inlineStr">
        <is>
          <t>7340301</t>
        </is>
      </c>
      <c r="C18" s="34" t="inlineStr">
        <is>
          <t>Kế toán</t>
        </is>
      </c>
    </row>
    <row r="19">
      <c r="A19" s="34" t="n">
        <v>9</v>
      </c>
      <c r="B19" s="34" t="inlineStr">
        <is>
          <t>7340302</t>
        </is>
      </c>
      <c r="C19" s="34" t="inlineStr">
        <is>
          <t>Kiểm toán</t>
        </is>
      </c>
    </row>
    <row r="20">
      <c r="A20" s="34" t="n">
        <v>10</v>
      </c>
      <c r="B20" s="34" t="inlineStr">
        <is>
          <t>7340404</t>
        </is>
      </c>
      <c r="C20" s="34" t="inlineStr">
        <is>
          <t>Quản trị nhân lực</t>
        </is>
      </c>
    </row>
    <row r="21">
      <c r="A21" s="34" t="n">
        <v>11</v>
      </c>
      <c r="B21" s="34" t="inlineStr">
        <is>
          <t>7340405</t>
        </is>
      </c>
      <c r="C21" s="34" t="inlineStr">
        <is>
          <t>Hệ thống thông tin quản lý</t>
        </is>
      </c>
    </row>
    <row r="22">
      <c r="A22" s="34" t="n">
        <v>12</v>
      </c>
      <c r="B22" s="34" t="inlineStr">
        <is>
          <t>7380107</t>
        </is>
      </c>
      <c r="C22" s="34" t="inlineStr">
        <is>
          <t>Luật kinh tế</t>
        </is>
      </c>
    </row>
    <row r="23">
      <c r="A23" s="34" t="n">
        <v>13</v>
      </c>
      <c r="B23" s="34" t="inlineStr">
        <is>
          <t>7480201</t>
        </is>
      </c>
      <c r="C23" s="34" t="inlineStr">
        <is>
          <t>Công nghệ thông tin</t>
        </is>
      </c>
    </row>
    <row r="24">
      <c r="A24" s="34" t="n">
        <v>14</v>
      </c>
      <c r="B24" s="34" t="inlineStr">
        <is>
          <t>7760101</t>
        </is>
      </c>
      <c r="C24" s="34" t="inlineStr">
        <is>
          <t>Công tác xã hội</t>
        </is>
      </c>
    </row>
    <row r="25">
      <c r="A25" s="34" t="n">
        <v>15</v>
      </c>
      <c r="B25" s="34" t="inlineStr">
        <is>
          <t>7810103</t>
        </is>
      </c>
      <c r="C25" s="34" t="inlineStr">
        <is>
          <t>Quản trị dịch vụ du lịch và Lữ hành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ulsa.edu.vn/" r:id="rId2"/>
    <hyperlink xmlns:r="http://schemas.openxmlformats.org/officeDocument/2006/relationships" ref="B6" display="https://tuyensinh.ulsa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Giao thông Vận tải (UTC)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https://utc.edu.vn/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https://tuyensinh.utc.edu.vn/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các trang tuyển sinh UTC.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7220201</t>
        </is>
      </c>
      <c r="C11" s="34" t="inlineStr">
        <is>
          <t>Ngôn ngữ Anh</t>
        </is>
      </c>
    </row>
    <row r="12">
      <c r="A12" s="34" t="n">
        <v>2</v>
      </c>
      <c r="B12" s="34" t="inlineStr">
        <is>
          <t>7460112</t>
        </is>
      </c>
      <c r="C12" s="34" t="inlineStr">
        <is>
          <t>Toán ứng dụng</t>
        </is>
      </c>
    </row>
    <row r="13">
      <c r="A13" s="34" t="n">
        <v>3</v>
      </c>
      <c r="B13" s="34" t="inlineStr">
        <is>
          <t>7310101</t>
        </is>
      </c>
      <c r="C13" s="34" t="inlineStr">
        <is>
          <t>Kinh tế</t>
        </is>
      </c>
    </row>
    <row r="14">
      <c r="A14" s="34" t="n">
        <v>4</v>
      </c>
      <c r="B14" s="34" t="inlineStr">
        <is>
          <t>7340101</t>
        </is>
      </c>
      <c r="C14" s="34" t="inlineStr">
        <is>
          <t>Quản trị kinh doanh</t>
        </is>
      </c>
    </row>
    <row r="15">
      <c r="A15" s="34" t="n">
        <v>5</v>
      </c>
      <c r="B15" s="34" t="inlineStr">
        <is>
          <t>7340201</t>
        </is>
      </c>
      <c r="C15" s="34" t="inlineStr">
        <is>
          <t>Tài chính - Ngân hàng</t>
        </is>
      </c>
    </row>
    <row r="16">
      <c r="A16" s="34" t="n">
        <v>6</v>
      </c>
      <c r="B16" s="34" t="inlineStr">
        <is>
          <t>7340301</t>
        </is>
      </c>
      <c r="C16" s="34" t="inlineStr">
        <is>
          <t>Kế toán</t>
        </is>
      </c>
    </row>
    <row r="17">
      <c r="A17" s="34" t="n">
        <v>7</v>
      </c>
      <c r="B17" s="34" t="inlineStr">
        <is>
          <t>7510605</t>
        </is>
      </c>
      <c r="C17" s="34" t="inlineStr">
        <is>
          <t>Logistics và Quản lý chuỗi cung ứng</t>
        </is>
      </c>
    </row>
    <row r="18">
      <c r="A18" s="34" t="n">
        <v>8</v>
      </c>
      <c r="B18" s="34" t="inlineStr">
        <is>
          <t>7810103</t>
        </is>
      </c>
      <c r="C18" s="34" t="inlineStr">
        <is>
          <t>Quản trị dịch vụ du lịch và lữ hành</t>
        </is>
      </c>
    </row>
    <row r="19">
      <c r="A19" s="34" t="n">
        <v>9</v>
      </c>
      <c r="B19" s="34" t="inlineStr">
        <is>
          <t>7840101</t>
        </is>
      </c>
      <c r="C19" s="34" t="inlineStr">
        <is>
          <t>Khai thác vận tải</t>
        </is>
      </c>
    </row>
    <row r="20">
      <c r="A20" s="34" t="n">
        <v>10</v>
      </c>
      <c r="B20" s="34" t="inlineStr">
        <is>
          <t>7840104</t>
        </is>
      </c>
      <c r="C20" s="34" t="inlineStr">
        <is>
          <t>Kinh tế vận tải</t>
        </is>
      </c>
    </row>
    <row r="21">
      <c r="A21" s="34" t="n">
        <v>11</v>
      </c>
      <c r="B21" s="34" t="inlineStr">
        <is>
          <t>7580301</t>
        </is>
      </c>
      <c r="C21" s="34" t="inlineStr">
        <is>
          <t>Kinh tế xây dựng</t>
        </is>
      </c>
    </row>
    <row r="22">
      <c r="A22" s="34" t="n">
        <v>12</v>
      </c>
      <c r="B22" s="34" t="inlineStr">
        <is>
          <t>7580302</t>
        </is>
      </c>
      <c r="C22" s="34" t="inlineStr">
        <is>
          <t>Quản lý xây dựng</t>
        </is>
      </c>
    </row>
    <row r="23">
      <c r="A23" s="34" t="n">
        <v>13</v>
      </c>
      <c r="B23" s="34" t="inlineStr">
        <is>
          <t>7480101</t>
        </is>
      </c>
      <c r="C23" s="34" t="inlineStr">
        <is>
          <t>Khoa học máy tính</t>
        </is>
      </c>
    </row>
    <row r="24">
      <c r="A24" s="34" t="n">
        <v>14</v>
      </c>
      <c r="B24" s="34" t="inlineStr">
        <is>
          <t>7480201</t>
        </is>
      </c>
      <c r="C24" s="34" t="inlineStr">
        <is>
          <t>Công nghệ thông tin</t>
        </is>
      </c>
    </row>
    <row r="25">
      <c r="A25" s="34" t="n">
        <v>15</v>
      </c>
      <c r="B25" s="34" t="inlineStr">
        <is>
          <t>7480107</t>
        </is>
      </c>
      <c r="C25" s="34" t="inlineStr">
        <is>
          <t>Trí tuệ nhân tạo</t>
        </is>
      </c>
    </row>
    <row r="26">
      <c r="A26" s="34" t="n">
        <v>16</v>
      </c>
      <c r="B26" s="34" t="inlineStr">
        <is>
          <t>7480106</t>
        </is>
      </c>
      <c r="C26" s="34" t="inlineStr">
        <is>
          <t>Kỹ thuật máy tính</t>
        </is>
      </c>
    </row>
    <row r="27">
      <c r="A27" s="34" t="n">
        <v>17</v>
      </c>
      <c r="B27" s="34" t="inlineStr">
        <is>
          <t>7480202</t>
        </is>
      </c>
      <c r="C27" s="34" t="inlineStr">
        <is>
          <t>An toàn thông tin</t>
        </is>
      </c>
    </row>
    <row r="28">
      <c r="A28" s="34" t="n">
        <v>18</v>
      </c>
      <c r="B28" s="34" t="inlineStr">
        <is>
          <t>7520103</t>
        </is>
      </c>
      <c r="C28" s="34" t="inlineStr">
        <is>
          <t>Kỹ thuật cơ khí</t>
        </is>
      </c>
    </row>
    <row r="29">
      <c r="A29" s="34" t="n">
        <v>19</v>
      </c>
      <c r="B29" s="34" t="inlineStr">
        <is>
          <t>7520114</t>
        </is>
      </c>
      <c r="C29" s="34" t="inlineStr">
        <is>
          <t>Kỹ thuật cơ điện tử</t>
        </is>
      </c>
    </row>
    <row r="30">
      <c r="A30" s="34" t="n">
        <v>20</v>
      </c>
      <c r="B30" s="34" t="inlineStr">
        <is>
          <t>7520115</t>
        </is>
      </c>
      <c r="C30" s="34" t="inlineStr">
        <is>
          <t>Kỹ thuật nhiệt</t>
        </is>
      </c>
    </row>
    <row r="31">
      <c r="A31" s="34" t="n">
        <v>21</v>
      </c>
      <c r="B31" s="34" t="inlineStr">
        <is>
          <t>7520116</t>
        </is>
      </c>
      <c r="C31" s="34" t="inlineStr">
        <is>
          <t>Kỹ thuật cơ khí động lực</t>
        </is>
      </c>
    </row>
    <row r="32">
      <c r="A32" s="34" t="n">
        <v>22</v>
      </c>
      <c r="B32" s="34" t="inlineStr">
        <is>
          <t>7520130</t>
        </is>
      </c>
      <c r="C32" s="34" t="inlineStr">
        <is>
          <t>Kỹ thuật ô tô</t>
        </is>
      </c>
    </row>
    <row r="33">
      <c r="A33" s="34" t="n">
        <v>23</v>
      </c>
      <c r="B33" s="34" t="inlineStr">
        <is>
          <t>7520201</t>
        </is>
      </c>
      <c r="C33" s="34" t="inlineStr">
        <is>
          <t>Kỹ thuật điện</t>
        </is>
      </c>
    </row>
    <row r="34">
      <c r="A34" s="34" t="n">
        <v>24</v>
      </c>
      <c r="B34" s="34" t="inlineStr">
        <is>
          <t>7520207</t>
        </is>
      </c>
      <c r="C34" s="34" t="inlineStr">
        <is>
          <t>Kỹ thuật điện tử - viễn thông</t>
        </is>
      </c>
    </row>
    <row r="35">
      <c r="A35" s="34" t="n">
        <v>25</v>
      </c>
      <c r="B35" s="34" t="inlineStr">
        <is>
          <t>7520216</t>
        </is>
      </c>
      <c r="C35" s="34" t="inlineStr">
        <is>
          <t>Kỹ thuật điều khiển và tự động hóa</t>
        </is>
      </c>
    </row>
    <row r="36">
      <c r="A36" s="34" t="n">
        <v>26</v>
      </c>
      <c r="B36" s="34" t="inlineStr">
        <is>
          <t>7520107</t>
        </is>
      </c>
      <c r="C36" s="34" t="inlineStr">
        <is>
          <t>Kỹ thuật robot</t>
        </is>
      </c>
    </row>
    <row r="37">
      <c r="A37" s="34" t="n">
        <v>27</v>
      </c>
      <c r="B37" s="34" t="inlineStr">
        <is>
          <t>7520320</t>
        </is>
      </c>
      <c r="C37" s="34" t="inlineStr">
        <is>
          <t>Kỹ thuật môi trường</t>
        </is>
      </c>
    </row>
    <row r="38">
      <c r="A38" s="34" t="n">
        <v>28</v>
      </c>
      <c r="B38" s="34" t="inlineStr">
        <is>
          <t>7580101</t>
        </is>
      </c>
      <c r="C38" s="34" t="inlineStr">
        <is>
          <t>Kiến trúc</t>
        </is>
      </c>
    </row>
    <row r="39">
      <c r="A39" s="34" t="n">
        <v>29</v>
      </c>
      <c r="B39" s="34" t="inlineStr">
        <is>
          <t>7580201</t>
        </is>
      </c>
      <c r="C39" s="34" t="inlineStr">
        <is>
          <t>Kỹ thuật xây dựng</t>
        </is>
      </c>
    </row>
    <row r="40">
      <c r="A40" s="34" t="n">
        <v>30</v>
      </c>
      <c r="B40" s="34" t="inlineStr">
        <is>
          <t>7580205</t>
        </is>
      </c>
      <c r="C40" s="34" t="inlineStr">
        <is>
          <t>Kỹ thuật xây dựng công trình giao thông</t>
        </is>
      </c>
    </row>
    <row r="41">
      <c r="A41" s="34" t="n">
        <v>31</v>
      </c>
      <c r="B41" s="34" t="inlineStr">
        <is>
          <t>7580210</t>
        </is>
      </c>
      <c r="C41" s="34" t="inlineStr">
        <is>
          <t>Kỹ thuật cơ sở hạ tầng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utc.edu.vn/" r:id="rId2"/>
    <hyperlink xmlns:r="http://schemas.openxmlformats.org/officeDocument/2006/relationships" ref="B6" display="https://tuyensinh.utc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Khoa học và Công nghệ Hà Nội (USTH)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https://usth.edu.vn/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https://tuyensinh.usth.edu.vn/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tuyensinh.usth.edu.vn.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7420201</t>
        </is>
      </c>
      <c r="C11" s="34" t="inlineStr">
        <is>
          <t>Công nghệ sinh học – Phát triển thuốc</t>
        </is>
      </c>
    </row>
    <row r="12">
      <c r="A12" s="34" t="n">
        <v>2</v>
      </c>
      <c r="B12" s="34" t="inlineStr">
        <is>
          <t>7440112</t>
        </is>
      </c>
      <c r="C12" s="34" t="inlineStr">
        <is>
          <t>Hóa học</t>
        </is>
      </c>
    </row>
    <row r="13">
      <c r="A13" s="34" t="n">
        <v>3</v>
      </c>
      <c r="B13" s="34" t="inlineStr">
        <is>
          <t>7440122</t>
        </is>
      </c>
      <c r="C13" s="34" t="inlineStr">
        <is>
          <t>Khoa học vật liệu tiên tiến và Công nghệ Nano</t>
        </is>
      </c>
    </row>
    <row r="14">
      <c r="A14" s="34" t="n">
        <v>4</v>
      </c>
      <c r="B14" s="34" t="inlineStr">
        <is>
          <t>7440301</t>
        </is>
      </c>
      <c r="C14" s="34" t="inlineStr">
        <is>
          <t>Khoa học Môi trường Ứng dụng</t>
        </is>
      </c>
    </row>
    <row r="15">
      <c r="A15" s="34" t="n">
        <v>5</v>
      </c>
      <c r="B15" s="34" t="inlineStr">
        <is>
          <t>7460108</t>
        </is>
      </c>
      <c r="C15" s="34" t="inlineStr">
        <is>
          <t>Khoa học dữ liệu</t>
        </is>
      </c>
    </row>
    <row r="16">
      <c r="A16" s="34" t="n">
        <v>6</v>
      </c>
      <c r="B16" s="34" t="inlineStr">
        <is>
          <t>7460112</t>
        </is>
      </c>
      <c r="C16" s="34" t="inlineStr">
        <is>
          <t>Toán ứng dụng</t>
        </is>
      </c>
    </row>
    <row r="17">
      <c r="A17" s="34" t="n">
        <v>7</v>
      </c>
      <c r="B17" s="34" t="inlineStr">
        <is>
          <t>7480201</t>
        </is>
      </c>
      <c r="C17" s="34" t="inlineStr">
        <is>
          <t>Công nghệ thông tin – Truyền thông</t>
        </is>
      </c>
    </row>
    <row r="18">
      <c r="A18" s="34" t="n">
        <v>8</v>
      </c>
      <c r="B18" s="34" t="inlineStr">
        <is>
          <t>7480202</t>
        </is>
      </c>
      <c r="C18" s="34" t="inlineStr">
        <is>
          <t>An toàn thông tin</t>
        </is>
      </c>
    </row>
    <row r="19">
      <c r="A19" s="34" t="n">
        <v>9</v>
      </c>
      <c r="B19" s="34" t="inlineStr">
        <is>
          <t>7510203</t>
        </is>
      </c>
      <c r="C19" s="34" t="inlineStr">
        <is>
          <t>Công nghệ Kỹ thuật Cơ điện tử</t>
        </is>
      </c>
    </row>
    <row r="20">
      <c r="A20" s="34" t="n">
        <v>10</v>
      </c>
      <c r="B20" s="34" t="inlineStr">
        <is>
          <t>7520120</t>
        </is>
      </c>
      <c r="C20" s="34" t="inlineStr">
        <is>
          <t>Kỹ thuật Hàng không</t>
        </is>
      </c>
    </row>
    <row r="21">
      <c r="A21" s="34" t="n">
        <v>11</v>
      </c>
      <c r="B21" s="34" t="inlineStr">
        <is>
          <t>7520121</t>
        </is>
      </c>
      <c r="C21" s="34" t="inlineStr">
        <is>
          <t>Khoa học Vũ trụ và Công nghệ Vệ tinh</t>
        </is>
      </c>
    </row>
    <row r="22">
      <c r="A22" s="34" t="n">
        <v>12</v>
      </c>
      <c r="B22" s="34" t="inlineStr">
        <is>
          <t>7520130</t>
        </is>
      </c>
      <c r="C22" s="34" t="inlineStr">
        <is>
          <t>Kỹ thuật ô tô</t>
        </is>
      </c>
    </row>
    <row r="23">
      <c r="A23" s="34" t="n">
        <v>13</v>
      </c>
      <c r="B23" s="34" t="inlineStr">
        <is>
          <t>7520201</t>
        </is>
      </c>
      <c r="C23" s="34" t="inlineStr">
        <is>
          <t>Kỹ thuật điện và Năng lượng tái tạo</t>
        </is>
      </c>
    </row>
    <row r="24">
      <c r="A24" s="34" t="n">
        <v>14</v>
      </c>
      <c r="B24" s="34" t="inlineStr">
        <is>
          <t>7520401</t>
        </is>
      </c>
      <c r="C24" s="34" t="inlineStr">
        <is>
          <t>Công nghệ vi mạch bán dẫn</t>
        </is>
      </c>
    </row>
    <row r="25">
      <c r="A25" s="34" t="n">
        <v>15</v>
      </c>
      <c r="B25" s="34" t="inlineStr">
        <is>
          <t>7540101</t>
        </is>
      </c>
      <c r="C25" s="34" t="inlineStr">
        <is>
          <t>Khoa học và Công nghệ thực phẩm</t>
        </is>
      </c>
    </row>
    <row r="26">
      <c r="A26" s="34" t="n">
        <v>16</v>
      </c>
      <c r="B26" s="34" t="inlineStr">
        <is>
          <t>7720601</t>
        </is>
      </c>
      <c r="C26" s="34" t="inlineStr">
        <is>
          <t>Khoa học và Công nghệ y khoa</t>
        </is>
      </c>
    </row>
    <row r="27">
      <c r="A27" s="34" t="n">
        <v>17</v>
      </c>
      <c r="B27" s="34" t="inlineStr">
        <is>
          <t>7720201</t>
        </is>
      </c>
      <c r="C27" s="34" t="inlineStr">
        <is>
          <t>Dược học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usth.edu.vn/" r:id="rId2"/>
    <hyperlink xmlns:r="http://schemas.openxmlformats.org/officeDocument/2006/relationships" ref="B6" display="https://tuyensinh.usth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Phenikaa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https://phenikaa-uni.edu.vn/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https://tuyensinh.phenikaa-uni.edu.vn/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một số ngành chính quy tiêu biểu 2025-2026 (trường có nhiều chương trình). Nguồn: các trang tuyển sinh Phenikaa.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BIO1</t>
        </is>
      </c>
      <c r="C11" s="34" t="inlineStr">
        <is>
          <t>Công nghệ sinh học</t>
        </is>
      </c>
    </row>
    <row r="12">
      <c r="A12" s="34" t="n">
        <v>2</v>
      </c>
      <c r="B12" s="34" t="inlineStr">
        <is>
          <t>BMS</t>
        </is>
      </c>
      <c r="C12" s="34" t="inlineStr">
        <is>
          <t>Khoa học y sinh</t>
        </is>
      </c>
    </row>
    <row r="13">
      <c r="A13" s="34" t="n">
        <v>3</v>
      </c>
      <c r="B13" s="34" t="inlineStr">
        <is>
          <t>CHE1</t>
        </is>
      </c>
      <c r="C13" s="34" t="inlineStr">
        <is>
          <t>Kỹ thuật hóa học</t>
        </is>
      </c>
    </row>
    <row r="14">
      <c r="A14" s="34" t="n">
        <v>4</v>
      </c>
      <c r="B14" s="34" t="inlineStr">
        <is>
          <t>DEN1</t>
        </is>
      </c>
      <c r="C14" s="34" t="inlineStr">
        <is>
          <t>Răng - Hàm - Mặt</t>
        </is>
      </c>
    </row>
    <row r="15">
      <c r="A15" s="34" t="n">
        <v>5</v>
      </c>
      <c r="B15" s="34" t="inlineStr">
        <is>
          <t>EEE1</t>
        </is>
      </c>
      <c r="C15" s="34" t="inlineStr">
        <is>
          <t>Kỹ thuật điều khiển và tự động hóa</t>
        </is>
      </c>
    </row>
    <row r="16">
      <c r="A16" s="34" t="n">
        <v>6</v>
      </c>
      <c r="B16" s="34" t="inlineStr">
        <is>
          <t>EEE-AI</t>
        </is>
      </c>
      <c r="C16" s="34" t="inlineStr">
        <is>
          <t>Kỹ thuật điều khiển và tự động hóa (Robot và AI)</t>
        </is>
      </c>
    </row>
    <row r="17">
      <c r="A17" s="34" t="n">
        <v>7</v>
      </c>
      <c r="B17" s="34" t="inlineStr">
        <is>
          <t>EEE2</t>
        </is>
      </c>
      <c r="C17" s="34" t="inlineStr">
        <is>
          <t>Kỹ thuật y sinh (Điện tử y sinh)</t>
        </is>
      </c>
    </row>
    <row r="18">
      <c r="A18" s="34" t="n">
        <v>8</v>
      </c>
      <c r="B18" s="34" t="inlineStr">
        <is>
          <t>FBE1</t>
        </is>
      </c>
      <c r="C18" s="34" t="inlineStr">
        <is>
          <t>Quản trị kinh doanh</t>
        </is>
      </c>
    </row>
    <row r="19">
      <c r="A19" s="34" t="n">
        <v>9</v>
      </c>
      <c r="B19" s="34" t="inlineStr">
        <is>
          <t>FBE2</t>
        </is>
      </c>
      <c r="C19" s="34" t="inlineStr">
        <is>
          <t>Kế toán</t>
        </is>
      </c>
    </row>
    <row r="20">
      <c r="A20" s="34" t="n">
        <v>10</v>
      </c>
      <c r="B20" s="34" t="inlineStr">
        <is>
          <t>FBE3</t>
        </is>
      </c>
      <c r="C20" s="34" t="inlineStr">
        <is>
          <t>Tài chính – ngân hàng</t>
        </is>
      </c>
    </row>
    <row r="21">
      <c r="A21" s="34" t="n">
        <v>11</v>
      </c>
      <c r="B21" s="34" t="inlineStr">
        <is>
          <t>FBE4</t>
        </is>
      </c>
      <c r="C21" s="34" t="inlineStr">
        <is>
          <t>Quản trị nhân lực</t>
        </is>
      </c>
    </row>
    <row r="22">
      <c r="A22" s="34" t="n">
        <v>12</v>
      </c>
      <c r="B22" s="34" t="inlineStr">
        <is>
          <t>FLE1</t>
        </is>
      </c>
      <c r="C22" s="34" t="inlineStr">
        <is>
          <t>Ngôn ngữ Anh</t>
        </is>
      </c>
    </row>
    <row r="23">
      <c r="A23" s="34" t="n">
        <v>13</v>
      </c>
      <c r="B23" s="34" t="inlineStr">
        <is>
          <t>FLK1</t>
        </is>
      </c>
      <c r="C23" s="34" t="inlineStr">
        <is>
          <t>Ngôn ngữ Hàn Quốc</t>
        </is>
      </c>
    </row>
    <row r="24">
      <c r="A24" s="34" t="n">
        <v>14</v>
      </c>
      <c r="B24" s="34" t="inlineStr">
        <is>
          <t>FLC1</t>
        </is>
      </c>
      <c r="C24" s="34" t="inlineStr">
        <is>
          <t>Ngôn ngữ Trung Quốc</t>
        </is>
      </c>
    </row>
    <row r="25">
      <c r="A25" s="34" t="n">
        <v>15</v>
      </c>
      <c r="B25" s="34" t="inlineStr">
        <is>
          <t>FLJ1</t>
        </is>
      </c>
      <c r="C25" s="34" t="inlineStr">
        <is>
          <t>Ngôn ngữ Nhật</t>
        </is>
      </c>
    </row>
    <row r="26">
      <c r="A26" s="34" t="n">
        <v>16</v>
      </c>
      <c r="B26" s="34" t="inlineStr">
        <is>
          <t>FTS1</t>
        </is>
      </c>
      <c r="C26" s="34" t="inlineStr">
        <is>
          <t>Du lịch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phenikaa-uni.edu.vn/" r:id="rId2"/>
    <hyperlink xmlns:r="http://schemas.openxmlformats.org/officeDocument/2006/relationships" ref="B6" display="https://tuyensinh.phenikaa-uni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Thăng Long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https://thanglong.edu.vn/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https://tuyensinh.thanglong.edu.vn/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đề án và các trang tuyển sinh Thăng Long.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7210205</t>
        </is>
      </c>
      <c r="C11" s="34" t="inlineStr">
        <is>
          <t>Thanh nhạc</t>
        </is>
      </c>
    </row>
    <row r="12">
      <c r="A12" s="34" t="n">
        <v>2</v>
      </c>
      <c r="B12" s="34" t="inlineStr">
        <is>
          <t>7210403</t>
        </is>
      </c>
      <c r="C12" s="34" t="inlineStr">
        <is>
          <t>Thiết kế đồ họa</t>
        </is>
      </c>
    </row>
    <row r="13">
      <c r="A13" s="34" t="n">
        <v>3</v>
      </c>
      <c r="B13" s="34" t="inlineStr">
        <is>
          <t>7220201</t>
        </is>
      </c>
      <c r="C13" s="34" t="inlineStr">
        <is>
          <t>Ngôn ngữ Anh</t>
        </is>
      </c>
    </row>
    <row r="14">
      <c r="A14" s="34" t="n">
        <v>4</v>
      </c>
      <c r="B14" s="34" t="inlineStr">
        <is>
          <t>7220204</t>
        </is>
      </c>
      <c r="C14" s="34" t="inlineStr">
        <is>
          <t>Ngôn ngữ Trung Quốc</t>
        </is>
      </c>
    </row>
    <row r="15">
      <c r="A15" s="34" t="n">
        <v>5</v>
      </c>
      <c r="B15" s="34" t="inlineStr">
        <is>
          <t>7220209</t>
        </is>
      </c>
      <c r="C15" s="34" t="inlineStr">
        <is>
          <t>Ngôn ngữ Nhật</t>
        </is>
      </c>
    </row>
    <row r="16">
      <c r="A16" s="34" t="n">
        <v>6</v>
      </c>
      <c r="B16" s="34" t="inlineStr">
        <is>
          <t>7220210</t>
        </is>
      </c>
      <c r="C16" s="34" t="inlineStr">
        <is>
          <t>Ngôn ngữ Hàn Quốc</t>
        </is>
      </c>
    </row>
    <row r="17">
      <c r="A17" s="34" t="n">
        <v>7</v>
      </c>
      <c r="B17" s="34" t="inlineStr">
        <is>
          <t>7310106</t>
        </is>
      </c>
      <c r="C17" s="34" t="inlineStr">
        <is>
          <t>Kinh tế quốc tế</t>
        </is>
      </c>
    </row>
    <row r="18">
      <c r="A18" s="34" t="n">
        <v>8</v>
      </c>
      <c r="B18" s="34" t="inlineStr">
        <is>
          <t>7310630</t>
        </is>
      </c>
      <c r="C18" s="34" t="inlineStr">
        <is>
          <t>Việt Nam học</t>
        </is>
      </c>
    </row>
    <row r="19">
      <c r="A19" s="34" t="n">
        <v>9</v>
      </c>
      <c r="B19" s="34" t="inlineStr">
        <is>
          <t>7320104</t>
        </is>
      </c>
      <c r="C19" s="34" t="inlineStr">
        <is>
          <t>Truyền thông đa phương tiện</t>
        </is>
      </c>
    </row>
    <row r="20">
      <c r="A20" s="34" t="n">
        <v>10</v>
      </c>
      <c r="B20" s="34" t="inlineStr">
        <is>
          <t>7340101</t>
        </is>
      </c>
      <c r="C20" s="34" t="inlineStr">
        <is>
          <t>Quản trị kinh doanh</t>
        </is>
      </c>
    </row>
    <row r="21">
      <c r="A21" s="34" t="n">
        <v>11</v>
      </c>
      <c r="B21" s="34" t="inlineStr">
        <is>
          <t>7340115</t>
        </is>
      </c>
      <c r="C21" s="34" t="inlineStr">
        <is>
          <t>Marketing</t>
        </is>
      </c>
    </row>
    <row r="22">
      <c r="A22" s="34" t="n">
        <v>12</v>
      </c>
      <c r="B22" s="34" t="inlineStr">
        <is>
          <t>7340122</t>
        </is>
      </c>
      <c r="C22" s="34" t="inlineStr">
        <is>
          <t>Thương mại điện tử</t>
        </is>
      </c>
    </row>
    <row r="23">
      <c r="A23" s="34" t="n">
        <v>13</v>
      </c>
      <c r="B23" s="34" t="inlineStr">
        <is>
          <t>7340201</t>
        </is>
      </c>
      <c r="C23" s="34" t="inlineStr">
        <is>
          <t>Tài chính – Ngân hàng</t>
        </is>
      </c>
    </row>
    <row r="24">
      <c r="A24" s="34" t="n">
        <v>14</v>
      </c>
      <c r="B24" s="34" t="inlineStr">
        <is>
          <t>7340301</t>
        </is>
      </c>
      <c r="C24" s="34" t="inlineStr">
        <is>
          <t>Kế toán</t>
        </is>
      </c>
    </row>
    <row r="25">
      <c r="A25" s="34" t="n">
        <v>15</v>
      </c>
      <c r="B25" s="34" t="inlineStr">
        <is>
          <t>7380107</t>
        </is>
      </c>
      <c r="C25" s="34" t="inlineStr">
        <is>
          <t>Luật kinh tế</t>
        </is>
      </c>
    </row>
    <row r="26">
      <c r="A26" s="34" t="n">
        <v>16</v>
      </c>
      <c r="B26" s="34" t="inlineStr">
        <is>
          <t>7480101</t>
        </is>
      </c>
      <c r="C26" s="34" t="inlineStr">
        <is>
          <t>Khoa học máy tính</t>
        </is>
      </c>
    </row>
    <row r="27">
      <c r="A27" s="34" t="n">
        <v>17</v>
      </c>
      <c r="B27" s="34" t="inlineStr">
        <is>
          <t>7480201</t>
        </is>
      </c>
      <c r="C27" s="34" t="inlineStr">
        <is>
          <t>Công nghệ thông tin</t>
        </is>
      </c>
    </row>
    <row r="28">
      <c r="A28" s="34" t="n">
        <v>18</v>
      </c>
      <c r="B28" s="34" t="inlineStr">
        <is>
          <t>7480207</t>
        </is>
      </c>
      <c r="C28" s="34" t="inlineStr">
        <is>
          <t>Trí tuệ nhân tạo</t>
        </is>
      </c>
    </row>
    <row r="29">
      <c r="A29" s="34" t="n">
        <v>19</v>
      </c>
      <c r="B29" s="34" t="inlineStr">
        <is>
          <t>7510605</t>
        </is>
      </c>
      <c r="C29" s="34" t="inlineStr">
        <is>
          <t>Logistics và quản lý chuỗi cung ứng</t>
        </is>
      </c>
    </row>
    <row r="30">
      <c r="A30" s="34" t="n">
        <v>20</v>
      </c>
      <c r="B30" s="34" t="inlineStr">
        <is>
          <t>7720301</t>
        </is>
      </c>
      <c r="C30" s="34" t="inlineStr">
        <is>
          <t>Điều dưỡng</t>
        </is>
      </c>
    </row>
    <row r="31">
      <c r="A31" s="34" t="n">
        <v>21</v>
      </c>
      <c r="B31" s="34" t="inlineStr">
        <is>
          <t>7810103</t>
        </is>
      </c>
      <c r="C31" s="34" t="inlineStr">
        <is>
          <t>Quản trị dịch vụ du lịch và lữ hành</t>
        </is>
      </c>
    </row>
    <row r="32">
      <c r="A32" s="34" t="n">
        <v>22</v>
      </c>
      <c r="B32" s="34" t="inlineStr">
        <is>
          <t>7810201</t>
        </is>
      </c>
      <c r="C32" s="34" t="inlineStr">
        <is>
          <t>Quản trị khách sạn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thanglong.edu.vn/" r:id="rId2"/>
    <hyperlink xmlns:r="http://schemas.openxmlformats.org/officeDocument/2006/relationships" ref="B6" display="https://tuyensinh.thanglong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CMC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https://cmc-u.edu.vn/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https://tuyensinh.cmc-u.edu.vn/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2025-2026. Nguồn: các trang tuyển sinh CMC.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AI</t>
        </is>
      </c>
      <c r="C11" s="34" t="inlineStr">
        <is>
          <t>Trí tuệ nhân tạo</t>
        </is>
      </c>
    </row>
    <row r="12">
      <c r="A12" s="34" t="n">
        <v>2</v>
      </c>
      <c r="B12" s="34" t="inlineStr">
        <is>
          <t>BA</t>
        </is>
      </c>
      <c r="C12" s="34" t="inlineStr">
        <is>
          <t>Quản trị Kinh doanh</t>
        </is>
      </c>
    </row>
    <row r="13">
      <c r="A13" s="34" t="n">
        <v>3</v>
      </c>
      <c r="B13" s="34" t="inlineStr">
        <is>
          <t>CL</t>
        </is>
      </c>
      <c r="C13" s="34" t="inlineStr">
        <is>
          <t>Ngôn ngữ Trung Quốc</t>
        </is>
      </c>
    </row>
    <row r="14">
      <c r="A14" s="34" t="n">
        <v>4</v>
      </c>
      <c r="B14" s="34" t="inlineStr">
        <is>
          <t>CS</t>
        </is>
      </c>
      <c r="C14" s="34" t="inlineStr">
        <is>
          <t>Khoa học Máy tính</t>
        </is>
      </c>
    </row>
    <row r="15">
      <c r="A15" s="34" t="n">
        <v>5</v>
      </c>
      <c r="B15" s="34" t="inlineStr">
        <is>
          <t>EC</t>
        </is>
      </c>
      <c r="C15" s="34" t="inlineStr">
        <is>
          <t>Thương mại điện tử</t>
        </is>
      </c>
    </row>
    <row r="16">
      <c r="A16" s="34" t="n">
        <v>6</v>
      </c>
      <c r="B16" s="34" t="inlineStr">
        <is>
          <t>ET</t>
        </is>
      </c>
      <c r="C16" s="34" t="inlineStr">
        <is>
          <t>Công nghệ kỹ thuật Điện tử – Viễn thông</t>
        </is>
      </c>
    </row>
    <row r="17">
      <c r="A17" s="34" t="n">
        <v>7</v>
      </c>
      <c r="B17" s="34" t="inlineStr">
        <is>
          <t>GA</t>
        </is>
      </c>
      <c r="C17" s="34" t="inlineStr">
        <is>
          <t>Đồ họa game</t>
        </is>
      </c>
    </row>
    <row r="18">
      <c r="A18" s="34" t="n">
        <v>8</v>
      </c>
      <c r="B18" s="34" t="inlineStr">
        <is>
          <t>GD</t>
        </is>
      </c>
      <c r="C18" s="34" t="inlineStr">
        <is>
          <t>Thiết kế Đồ họa</t>
        </is>
      </c>
    </row>
    <row r="19">
      <c r="A19" s="34" t="n">
        <v>9</v>
      </c>
      <c r="B19" s="34" t="inlineStr">
        <is>
          <t>IT</t>
        </is>
      </c>
      <c r="C19" s="34" t="inlineStr">
        <is>
          <t>Công nghệ Thông tin</t>
        </is>
      </c>
    </row>
    <row r="20">
      <c r="A20" s="34" t="n">
        <v>10</v>
      </c>
      <c r="B20" s="34" t="inlineStr">
        <is>
          <t>JL</t>
        </is>
      </c>
      <c r="C20" s="34" t="inlineStr">
        <is>
          <t>Tiếng Nhật thương mại</t>
        </is>
      </c>
    </row>
    <row r="21">
      <c r="A21" s="34" t="n">
        <v>11</v>
      </c>
      <c r="B21" s="34" t="inlineStr">
        <is>
          <t>KL</t>
        </is>
      </c>
      <c r="C21" s="34" t="inlineStr">
        <is>
          <t>Ngôn ngữ Hàn Quốc</t>
        </is>
      </c>
    </row>
    <row r="22">
      <c r="A22" s="34" t="n">
        <v>12</v>
      </c>
      <c r="B22" s="34" t="inlineStr">
        <is>
          <t>LS</t>
        </is>
      </c>
      <c r="C22" s="34" t="inlineStr">
        <is>
          <t>Logistics &amp; Quản lý chuỗi cung ứng</t>
        </is>
      </c>
    </row>
    <row r="23">
      <c r="A23" s="34" t="n">
        <v>13</v>
      </c>
      <c r="B23" s="34" t="inlineStr">
        <is>
          <t>MK</t>
        </is>
      </c>
      <c r="C23" s="34" t="inlineStr">
        <is>
          <t>Digital Marketing</t>
        </is>
      </c>
    </row>
    <row r="24">
      <c r="A24" s="34" t="n">
        <v>14</v>
      </c>
      <c r="B24" s="34" t="inlineStr">
        <is>
          <t>SE</t>
        </is>
      </c>
      <c r="C24" s="34" t="inlineStr">
        <is>
          <t>Kỹ thuật phần mềm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cmc-u.edu.vn/" r:id="rId2"/>
    <hyperlink xmlns:r="http://schemas.openxmlformats.org/officeDocument/2006/relationships" ref="B6" display="https://tuyensinh.cmc-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Đại Nam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https://dainam.edu.vn/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https://tuyensinh.dainam.edu.vn/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dainam.edu.vn.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Y khoa</t>
        </is>
      </c>
      <c r="C11" s="34" t="inlineStr">
        <is>
          <t>Y khoa</t>
        </is>
      </c>
    </row>
    <row r="12">
      <c r="A12" s="34" t="n">
        <v>2</v>
      </c>
      <c r="B12" s="34" t="inlineStr">
        <is>
          <t>Dược học</t>
        </is>
      </c>
      <c r="C12" s="34" t="inlineStr">
        <is>
          <t>Dược học</t>
        </is>
      </c>
    </row>
    <row r="13">
      <c r="A13" s="34" t="n">
        <v>3</v>
      </c>
      <c r="B13" s="34" t="inlineStr">
        <is>
          <t>Điều dưỡng</t>
        </is>
      </c>
      <c r="C13" s="34" t="inlineStr">
        <is>
          <t>Điều dưỡng</t>
        </is>
      </c>
    </row>
    <row r="14">
      <c r="A14" s="34" t="n">
        <v>4</v>
      </c>
      <c r="B14" s="34" t="inlineStr">
        <is>
          <t>7480201</t>
        </is>
      </c>
      <c r="C14" s="34" t="inlineStr">
        <is>
          <t>Công nghệ thông tin</t>
        </is>
      </c>
    </row>
    <row r="15">
      <c r="A15" s="34" t="n">
        <v>5</v>
      </c>
      <c r="B15" s="34" t="inlineStr">
        <is>
          <t>7480101</t>
        </is>
      </c>
      <c r="C15" s="34" t="inlineStr">
        <is>
          <t>Khoa học máy tính</t>
        </is>
      </c>
    </row>
    <row r="16">
      <c r="A16" s="34" t="n">
        <v>6</v>
      </c>
      <c r="B16" s="34" t="inlineStr">
        <is>
          <t>7480104</t>
        </is>
      </c>
      <c r="C16" s="34" t="inlineStr">
        <is>
          <t>Hệ thống thông tin</t>
        </is>
      </c>
    </row>
    <row r="17">
      <c r="A17" s="34" t="n">
        <v>7</v>
      </c>
      <c r="B17" s="34" t="inlineStr">
        <is>
          <t>7510205</t>
        </is>
      </c>
      <c r="C17" s="34" t="inlineStr">
        <is>
          <t>Công nghệ kỹ thuật ô tô</t>
        </is>
      </c>
    </row>
    <row r="18">
      <c r="A18" s="34" t="n">
        <v>8</v>
      </c>
      <c r="B18" s="34" t="inlineStr">
        <is>
          <t>7510301</t>
        </is>
      </c>
      <c r="C18" s="34" t="inlineStr">
        <is>
          <t>Công nghệ kỹ thuật điện - điện tử</t>
        </is>
      </c>
    </row>
    <row r="19">
      <c r="A19" s="34" t="n">
        <v>9</v>
      </c>
      <c r="B19" s="34" t="inlineStr">
        <is>
          <t>7510203</t>
        </is>
      </c>
      <c r="C19" s="34" t="inlineStr">
        <is>
          <t>Công nghệ kỹ thuật cơ điện tử</t>
        </is>
      </c>
    </row>
    <row r="20">
      <c r="A20" s="34" t="n">
        <v>10</v>
      </c>
      <c r="B20" s="34" t="inlineStr">
        <is>
          <t>7580101</t>
        </is>
      </c>
      <c r="C20" s="34" t="inlineStr">
        <is>
          <t>Kiến trúc</t>
        </is>
      </c>
    </row>
    <row r="21">
      <c r="A21" s="34" t="n">
        <v>11</v>
      </c>
      <c r="B21" s="34" t="inlineStr">
        <is>
          <t>7580201</t>
        </is>
      </c>
      <c r="C21" s="34" t="inlineStr">
        <is>
          <t>Kỹ thuật xây dựng</t>
        </is>
      </c>
    </row>
    <row r="22">
      <c r="A22" s="34" t="n">
        <v>12</v>
      </c>
      <c r="B22" s="34" t="inlineStr">
        <is>
          <t>7580301</t>
        </is>
      </c>
      <c r="C22" s="34" t="inlineStr">
        <is>
          <t>Kinh tế xây dựng</t>
        </is>
      </c>
    </row>
    <row r="23">
      <c r="A23" s="34" t="n">
        <v>13</v>
      </c>
      <c r="B23" s="34" t="inlineStr">
        <is>
          <t>7340101</t>
        </is>
      </c>
      <c r="C23" s="34" t="inlineStr">
        <is>
          <t>Quản trị kinh doanh</t>
        </is>
      </c>
    </row>
    <row r="24">
      <c r="A24" s="34" t="n">
        <v>14</v>
      </c>
      <c r="B24" s="34" t="inlineStr">
        <is>
          <t>7340404</t>
        </is>
      </c>
      <c r="C24" s="34" t="inlineStr">
        <is>
          <t>Quản trị nhân lực</t>
        </is>
      </c>
    </row>
    <row r="25">
      <c r="A25" s="34" t="n">
        <v>15</v>
      </c>
      <c r="B25" s="34" t="inlineStr">
        <is>
          <t>7340115</t>
        </is>
      </c>
      <c r="C25" s="34" t="inlineStr">
        <is>
          <t>Marketing</t>
        </is>
      </c>
    </row>
    <row r="26">
      <c r="A26" s="34" t="n">
        <v>16</v>
      </c>
      <c r="B26" s="34" t="inlineStr">
        <is>
          <t>7340120</t>
        </is>
      </c>
      <c r="C26" s="34" t="inlineStr">
        <is>
          <t>Kinh doanh quốc tế</t>
        </is>
      </c>
    </row>
    <row r="27">
      <c r="A27" s="34" t="n">
        <v>17</v>
      </c>
      <c r="B27" s="34" t="inlineStr">
        <is>
          <t>7340122</t>
        </is>
      </c>
      <c r="C27" s="34" t="inlineStr">
        <is>
          <t>Thương mại điện tử</t>
        </is>
      </c>
    </row>
    <row r="28">
      <c r="A28" s="34" t="n">
        <v>18</v>
      </c>
      <c r="B28" s="34" t="inlineStr">
        <is>
          <t>7310101</t>
        </is>
      </c>
      <c r="C28" s="34" t="inlineStr">
        <is>
          <t>Kinh tế</t>
        </is>
      </c>
    </row>
    <row r="29">
      <c r="A29" s="34" t="n">
        <v>19</v>
      </c>
      <c r="B29" s="34" t="inlineStr">
        <is>
          <t>7220201</t>
        </is>
      </c>
      <c r="C29" s="34" t="inlineStr">
        <is>
          <t>Ngôn ngữ Anh</t>
        </is>
      </c>
    </row>
    <row r="30">
      <c r="A30" s="34" t="n">
        <v>20</v>
      </c>
      <c r="B30" s="34" t="inlineStr">
        <is>
          <t>7220204</t>
        </is>
      </c>
      <c r="C30" s="34" t="inlineStr">
        <is>
          <t>Ngôn ngữ Trung Quốc</t>
        </is>
      </c>
    </row>
    <row r="31">
      <c r="A31" s="34" t="n">
        <v>21</v>
      </c>
      <c r="B31" s="34" t="inlineStr">
        <is>
          <t>7220209</t>
        </is>
      </c>
      <c r="C31" s="34" t="inlineStr">
        <is>
          <t>Ngôn ngữ Nhật</t>
        </is>
      </c>
    </row>
    <row r="32">
      <c r="A32" s="34" t="n">
        <v>22</v>
      </c>
      <c r="B32" s="34" t="inlineStr">
        <is>
          <t>7220210</t>
        </is>
      </c>
      <c r="C32" s="34" t="inlineStr">
        <is>
          <t>Ngôn ngữ Hàn Quốc</t>
        </is>
      </c>
    </row>
    <row r="33">
      <c r="A33" s="34" t="n">
        <v>23</v>
      </c>
      <c r="B33" s="34" t="inlineStr">
        <is>
          <t>7320104</t>
        </is>
      </c>
      <c r="C33" s="34" t="inlineStr">
        <is>
          <t>Truyền thông đa phương tiện</t>
        </is>
      </c>
    </row>
    <row r="34">
      <c r="A34" s="34" t="n">
        <v>24</v>
      </c>
      <c r="B34" s="34" t="inlineStr">
        <is>
          <t>7320108</t>
        </is>
      </c>
      <c r="C34" s="34" t="inlineStr">
        <is>
          <t>Quan hệ công chúng</t>
        </is>
      </c>
    </row>
    <row r="35">
      <c r="A35" s="34" t="n">
        <v>25</v>
      </c>
      <c r="B35" s="34" t="inlineStr">
        <is>
          <t>7310401</t>
        </is>
      </c>
      <c r="C35" s="34" t="inlineStr">
        <is>
          <t>Tâm lý học</t>
        </is>
      </c>
    </row>
    <row r="36">
      <c r="A36" s="34" t="n">
        <v>26</v>
      </c>
      <c r="B36" s="34" t="inlineStr">
        <is>
          <t>7380101</t>
        </is>
      </c>
      <c r="C36" s="34" t="inlineStr">
        <is>
          <t>Luật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dainam.edu.vn/" r:id="rId2"/>
    <hyperlink xmlns:r="http://schemas.openxmlformats.org/officeDocument/2006/relationships" ref="B6" display="https://tuyensinh.dainam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7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Kinh doanh và Công nghệ Hà Nội (HUBT)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https://hubt.edu.vn/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https://tuyensinh.hubt.edu.vn/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2025-2026. Nguồn: các trang tuyển sinh HUBT.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7210403</t>
        </is>
      </c>
      <c r="C11" s="34" t="inlineStr">
        <is>
          <t>Thiết kế đồ họa</t>
        </is>
      </c>
    </row>
    <row r="12">
      <c r="A12" s="34" t="n">
        <v>2</v>
      </c>
      <c r="B12" s="34" t="inlineStr">
        <is>
          <t>7220201</t>
        </is>
      </c>
      <c r="C12" s="34" t="inlineStr">
        <is>
          <t>Ngôn ngữ Anh</t>
        </is>
      </c>
    </row>
    <row r="13">
      <c r="A13" s="34" t="n">
        <v>3</v>
      </c>
      <c r="B13" s="34" t="inlineStr">
        <is>
          <t>7220202</t>
        </is>
      </c>
      <c r="C13" s="34" t="inlineStr">
        <is>
          <t>Ngôn ngữ Nga</t>
        </is>
      </c>
    </row>
    <row r="14">
      <c r="A14" s="34" t="n">
        <v>4</v>
      </c>
      <c r="B14" s="34" t="inlineStr">
        <is>
          <t>7220204</t>
        </is>
      </c>
      <c r="C14" s="34" t="inlineStr">
        <is>
          <t>Ngôn ngữ Trung Quốc</t>
        </is>
      </c>
    </row>
    <row r="15">
      <c r="A15" s="34" t="n">
        <v>5</v>
      </c>
      <c r="B15" s="34" t="inlineStr">
        <is>
          <t>7310101</t>
        </is>
      </c>
      <c r="C15" s="34" t="inlineStr">
        <is>
          <t>Kinh tế</t>
        </is>
      </c>
    </row>
    <row r="16">
      <c r="A16" s="34" t="n">
        <v>6</v>
      </c>
      <c r="B16" s="34" t="inlineStr">
        <is>
          <t>7310205</t>
        </is>
      </c>
      <c r="C16" s="34" t="inlineStr">
        <is>
          <t>Quản lý nhà nước</t>
        </is>
      </c>
    </row>
    <row r="17">
      <c r="A17" s="34" t="n">
        <v>7</v>
      </c>
      <c r="B17" s="34" t="inlineStr">
        <is>
          <t>7340101</t>
        </is>
      </c>
      <c r="C17" s="34" t="inlineStr">
        <is>
          <t>Quản trị kinh doanh</t>
        </is>
      </c>
    </row>
    <row r="18">
      <c r="A18" s="34" t="n">
        <v>8</v>
      </c>
      <c r="B18" s="34" t="inlineStr">
        <is>
          <t>7340120</t>
        </is>
      </c>
      <c r="C18" s="34" t="inlineStr">
        <is>
          <t>Kinh doanh quốc tế</t>
        </is>
      </c>
    </row>
    <row r="19">
      <c r="A19" s="34" t="n">
        <v>9</v>
      </c>
      <c r="B19" s="34" t="inlineStr">
        <is>
          <t>7340201</t>
        </is>
      </c>
      <c r="C19" s="34" t="inlineStr">
        <is>
          <t>Tài chính – Ngân hàng</t>
        </is>
      </c>
    </row>
    <row r="20">
      <c r="A20" s="34" t="n">
        <v>10</v>
      </c>
      <c r="B20" s="34" t="inlineStr">
        <is>
          <t>7340301</t>
        </is>
      </c>
      <c r="C20" s="34" t="inlineStr">
        <is>
          <t>Kế toán</t>
        </is>
      </c>
    </row>
    <row r="21">
      <c r="A21" s="34" t="n">
        <v>11</v>
      </c>
      <c r="B21" s="34" t="inlineStr">
        <is>
          <t>7380107</t>
        </is>
      </c>
      <c r="C21" s="34" t="inlineStr">
        <is>
          <t>Luật kinh tế</t>
        </is>
      </c>
    </row>
    <row r="22">
      <c r="A22" s="34" t="n">
        <v>12</v>
      </c>
      <c r="B22" s="34" t="inlineStr">
        <is>
          <t>7480201</t>
        </is>
      </c>
      <c r="C22" s="34" t="inlineStr">
        <is>
          <t>Công nghệ thông tin</t>
        </is>
      </c>
    </row>
    <row r="23">
      <c r="A23" s="34" t="n">
        <v>13</v>
      </c>
      <c r="B23" s="34" t="inlineStr">
        <is>
          <t>7510203</t>
        </is>
      </c>
      <c r="C23" s="34" t="inlineStr">
        <is>
          <t>Công nghệ kỹ thuật Cơ – điện tử</t>
        </is>
      </c>
    </row>
    <row r="24">
      <c r="A24" s="34" t="n">
        <v>14</v>
      </c>
      <c r="B24" s="34" t="inlineStr">
        <is>
          <t>7510205</t>
        </is>
      </c>
      <c r="C24" s="34" t="inlineStr">
        <is>
          <t>Công nghệ kỹ thuật ô tô</t>
        </is>
      </c>
    </row>
    <row r="25">
      <c r="A25" s="34" t="n">
        <v>15</v>
      </c>
      <c r="B25" s="34" t="inlineStr">
        <is>
          <t>7510301</t>
        </is>
      </c>
      <c r="C25" s="34" t="inlineStr">
        <is>
          <t>Công nghệ kỹ thuật điện, điện tử</t>
        </is>
      </c>
    </row>
    <row r="26">
      <c r="A26" s="34" t="n">
        <v>16</v>
      </c>
      <c r="B26" s="34" t="inlineStr">
        <is>
          <t>7510406</t>
        </is>
      </c>
      <c r="C26" s="34" t="inlineStr">
        <is>
          <t>Công nghệ kỹ thuật môi trường</t>
        </is>
      </c>
    </row>
    <row r="27">
      <c r="A27" s="34" t="n">
        <v>17</v>
      </c>
      <c r="B27" s="34" t="inlineStr">
        <is>
          <t>7580101</t>
        </is>
      </c>
      <c r="C27" s="34" t="inlineStr">
        <is>
          <t>Kiến trúc</t>
        </is>
      </c>
    </row>
    <row r="28">
      <c r="A28" s="34" t="n">
        <v>18</v>
      </c>
      <c r="B28" s="34" t="inlineStr">
        <is>
          <t>7580106</t>
        </is>
      </c>
      <c r="C28" s="34" t="inlineStr">
        <is>
          <t>Quản lý đô thị và công trình</t>
        </is>
      </c>
    </row>
    <row r="29">
      <c r="A29" s="34" t="n">
        <v>19</v>
      </c>
      <c r="B29" s="34" t="inlineStr">
        <is>
          <t>7580108</t>
        </is>
      </c>
      <c r="C29" s="34" t="inlineStr">
        <is>
          <t>Thiết kế nội thất</t>
        </is>
      </c>
    </row>
    <row r="30">
      <c r="A30" s="34" t="n">
        <v>20</v>
      </c>
      <c r="B30" s="34" t="inlineStr">
        <is>
          <t>7580201</t>
        </is>
      </c>
      <c r="C30" s="34" t="inlineStr">
        <is>
          <t>Kỹ thuật xây dựng</t>
        </is>
      </c>
    </row>
    <row r="31">
      <c r="A31" s="34" t="n">
        <v>21</v>
      </c>
      <c r="B31" s="34" t="inlineStr">
        <is>
          <t>7720101</t>
        </is>
      </c>
      <c r="C31" s="34" t="inlineStr">
        <is>
          <t>Y khoa</t>
        </is>
      </c>
    </row>
    <row r="32">
      <c r="A32" s="34" t="n">
        <v>22</v>
      </c>
      <c r="B32" s="34" t="inlineStr">
        <is>
          <t>7720201</t>
        </is>
      </c>
      <c r="C32" s="34" t="inlineStr">
        <is>
          <t>Dược học</t>
        </is>
      </c>
    </row>
    <row r="33">
      <c r="A33" s="34" t="n">
        <v>23</v>
      </c>
      <c r="B33" s="34" t="inlineStr">
        <is>
          <t>7720301</t>
        </is>
      </c>
      <c r="C33" s="34" t="inlineStr">
        <is>
          <t>Điều dưỡng</t>
        </is>
      </c>
    </row>
    <row r="34">
      <c r="A34" s="34" t="n">
        <v>24</v>
      </c>
      <c r="B34" s="34" t="inlineStr">
        <is>
          <t>7720501</t>
        </is>
      </c>
      <c r="C34" s="34" t="inlineStr">
        <is>
          <t>Răng – Hàm – Mặt</t>
        </is>
      </c>
    </row>
    <row r="35">
      <c r="A35" s="34" t="n">
        <v>25</v>
      </c>
      <c r="B35" s="34" t="inlineStr">
        <is>
          <t>7810103</t>
        </is>
      </c>
      <c r="C35" s="34" t="inlineStr">
        <is>
          <t>Quản trị dịch vụ du lịch và lữ hành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ubt.edu.vn/" r:id="rId2"/>
    <hyperlink xmlns:r="http://schemas.openxmlformats.org/officeDocument/2006/relationships" ref="B6" display="https://tuyensinh.hubt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8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Công nghiệp Việt - Hung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https://viu.edu.vn/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https://tuyensinh.viu.edu.vn/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2025. Nguồn: các trang tuyển sinh VIU.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7310101</t>
        </is>
      </c>
      <c r="C11" s="34" t="inlineStr">
        <is>
          <t>Kinh tế</t>
        </is>
      </c>
    </row>
    <row r="12">
      <c r="A12" s="34" t="n">
        <v>2</v>
      </c>
      <c r="B12" s="34" t="inlineStr">
        <is>
          <t>7310109</t>
        </is>
      </c>
      <c r="C12" s="34" t="inlineStr">
        <is>
          <t>Kinh tế số</t>
        </is>
      </c>
    </row>
    <row r="13">
      <c r="A13" s="34" t="n">
        <v>3</v>
      </c>
      <c r="B13" s="34" t="inlineStr">
        <is>
          <t>7340101</t>
        </is>
      </c>
      <c r="C13" s="34" t="inlineStr">
        <is>
          <t>Quản trị kinh doanh</t>
        </is>
      </c>
    </row>
    <row r="14">
      <c r="A14" s="34" t="n">
        <v>4</v>
      </c>
      <c r="B14" s="34" t="inlineStr">
        <is>
          <t>7340115</t>
        </is>
      </c>
      <c r="C14" s="34" t="inlineStr">
        <is>
          <t>Marketing</t>
        </is>
      </c>
    </row>
    <row r="15">
      <c r="A15" s="34" t="n">
        <v>5</v>
      </c>
      <c r="B15" s="34" t="inlineStr">
        <is>
          <t>7340201</t>
        </is>
      </c>
      <c r="C15" s="34" t="inlineStr">
        <is>
          <t>Tài chính – Ngân hàng</t>
        </is>
      </c>
    </row>
    <row r="16">
      <c r="A16" s="34" t="n">
        <v>6</v>
      </c>
      <c r="B16" s="34" t="inlineStr">
        <is>
          <t>7340205</t>
        </is>
      </c>
      <c r="C16" s="34" t="inlineStr">
        <is>
          <t>Công nghệ tài chính</t>
        </is>
      </c>
    </row>
    <row r="17">
      <c r="A17" s="34" t="n">
        <v>7</v>
      </c>
      <c r="B17" s="34" t="inlineStr">
        <is>
          <t>7480101</t>
        </is>
      </c>
      <c r="C17" s="34" t="inlineStr">
        <is>
          <t>Khoa học máy tính</t>
        </is>
      </c>
    </row>
    <row r="18">
      <c r="A18" s="34" t="n">
        <v>8</v>
      </c>
      <c r="B18" s="34" t="inlineStr">
        <is>
          <t>7480201</t>
        </is>
      </c>
      <c r="C18" s="34" t="inlineStr">
        <is>
          <t>Công nghệ thông tin</t>
        </is>
      </c>
    </row>
    <row r="19">
      <c r="A19" s="34" t="n">
        <v>9</v>
      </c>
      <c r="B19" s="34" t="inlineStr">
        <is>
          <t>7510103</t>
        </is>
      </c>
      <c r="C19" s="34" t="inlineStr">
        <is>
          <t>Công nghệ kỹ thuật xây dựng</t>
        </is>
      </c>
    </row>
    <row r="20">
      <c r="A20" s="34" t="n">
        <v>10</v>
      </c>
      <c r="B20" s="34" t="inlineStr">
        <is>
          <t>7510201</t>
        </is>
      </c>
      <c r="C20" s="34" t="inlineStr">
        <is>
          <t>Công nghệ kỹ thuật cơ khí</t>
        </is>
      </c>
    </row>
    <row r="21">
      <c r="A21" s="34" t="n">
        <v>11</v>
      </c>
      <c r="B21" s="34" t="inlineStr">
        <is>
          <t>7510205</t>
        </is>
      </c>
      <c r="C21" s="34" t="inlineStr">
        <is>
          <t>Công nghệ kỹ thuật ô tô</t>
        </is>
      </c>
    </row>
    <row r="22">
      <c r="A22" s="34" t="n">
        <v>12</v>
      </c>
      <c r="B22" s="34" t="inlineStr">
        <is>
          <t>7510301</t>
        </is>
      </c>
      <c r="C22" s="34" t="inlineStr">
        <is>
          <t>Công nghệ kỹ thuật điện, điện tử</t>
        </is>
      </c>
    </row>
    <row r="23">
      <c r="A23" s="34" t="n">
        <v>13</v>
      </c>
      <c r="B23" s="34" t="inlineStr">
        <is>
          <t>7510302</t>
        </is>
      </c>
      <c r="C23" s="34" t="inlineStr">
        <is>
          <t>Công nghệ kỹ thuật điện tử viễn thông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viu.edu.vn/" r:id="rId2"/>
    <hyperlink xmlns:r="http://schemas.openxmlformats.org/officeDocument/2006/relationships" ref="B6" display="https://tuyensinh.vi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9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Học viện Kỹ thuật Quân sự (MTA)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https://mta.edu.vn/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https://mta.edu.vn/ (mục Tuyển sinh)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 (hệ Quân sự + Dân sự). Nguồn: các trang tuyển sinh MTA.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7860220</t>
        </is>
      </c>
      <c r="C11" s="34" t="inlineStr">
        <is>
          <t>Kỹ sư quân sự (hệ Quân sự)</t>
        </is>
      </c>
    </row>
    <row r="12">
      <c r="A12" s="34" t="n">
        <v>2</v>
      </c>
      <c r="B12" s="34" t="inlineStr">
        <is>
          <t>7480201</t>
        </is>
      </c>
      <c r="C12" s="34" t="inlineStr">
        <is>
          <t>Công nghệ thông tin (hệ Dân sự)</t>
        </is>
      </c>
    </row>
    <row r="13">
      <c r="A13" s="34" t="n">
        <v>3</v>
      </c>
      <c r="B13" s="34" t="inlineStr">
        <is>
          <t>7480101</t>
        </is>
      </c>
      <c r="C13" s="34" t="inlineStr">
        <is>
          <t>Khoa học máy tính / Trí tuệ nhân tạo (hệ Dân sự)</t>
        </is>
      </c>
    </row>
    <row r="14">
      <c r="A14" s="34" t="n">
        <v>4</v>
      </c>
      <c r="B14" s="34" t="inlineStr">
        <is>
          <t>7480202</t>
        </is>
      </c>
      <c r="C14" s="34" t="inlineStr">
        <is>
          <t>An toàn thông tin (hệ Dân sự)</t>
        </is>
      </c>
    </row>
    <row r="15">
      <c r="A15" s="34" t="n">
        <v>5</v>
      </c>
      <c r="B15" s="34" t="inlineStr">
        <is>
          <t>7520207</t>
        </is>
      </c>
      <c r="C15" s="34" t="inlineStr">
        <is>
          <t>Kỹ thuật điện tử – viễn thông (hệ Dân sự)</t>
        </is>
      </c>
    </row>
    <row r="16">
      <c r="A16" s="34" t="n">
        <v>6</v>
      </c>
      <c r="B16" s="34" t="inlineStr">
        <is>
          <t>7520216</t>
        </is>
      </c>
      <c r="C16" s="34" t="inlineStr">
        <is>
          <t>Kỹ thuật điều khiển và tự động hóa (hệ Dân sự)</t>
        </is>
      </c>
    </row>
    <row r="17">
      <c r="A17" s="34" t="n">
        <v>7</v>
      </c>
      <c r="B17" s="34" t="inlineStr">
        <is>
          <t>7520114</t>
        </is>
      </c>
      <c r="C17" s="34" t="inlineStr">
        <is>
          <t>Kỹ thuật cơ điện tử (hệ Dân sự)</t>
        </is>
      </c>
    </row>
    <row r="18">
      <c r="A18" s="34" t="n">
        <v>8</v>
      </c>
      <c r="B18" s="34" t="inlineStr">
        <is>
          <t>7520103</t>
        </is>
      </c>
      <c r="C18" s="34" t="inlineStr">
        <is>
          <t>Kỹ thuật cơ khí (hệ Dân sự)</t>
        </is>
      </c>
    </row>
    <row r="19">
      <c r="A19" s="34" t="n">
        <v>9</v>
      </c>
      <c r="B19" s="34" t="inlineStr">
        <is>
          <t>7580201</t>
        </is>
      </c>
      <c r="C19" s="34" t="inlineStr">
        <is>
          <t>Kỹ thuật xây dựng (hệ Dân sự)</t>
        </is>
      </c>
    </row>
    <row r="20">
      <c r="A20" s="34" t="n">
        <v>10</v>
      </c>
      <c r="B20" s="34" t="inlineStr">
        <is>
          <t>7520116</t>
        </is>
      </c>
      <c r="C20" s="34" t="inlineStr">
        <is>
          <t>Kỹ thuật cơ khí động lực / ô tô (hệ Dân sự)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mta.edu.vn/" r:id="rId2"/>
    <hyperlink xmlns:r="http://schemas.openxmlformats.org/officeDocument/2006/relationships" ref="B6" display="https://mta.edu.vn/ (mục Tuyển sinh)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0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Học viện Quân y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https://hvqy.edu.vn/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https://tuyensinh.hvqy.edu.vn/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2025-2026. Nguồn: thông báo tuyển sinh HV Quân y.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7720101</t>
        </is>
      </c>
      <c r="C11" s="34" t="inlineStr">
        <is>
          <t>Y khoa (hệ Quân sự + Dân sự)</t>
        </is>
      </c>
    </row>
    <row r="12">
      <c r="A12" s="34" t="n">
        <v>2</v>
      </c>
      <c r="B12" s="34" t="inlineStr">
        <is>
          <t>7720201</t>
        </is>
      </c>
      <c r="C12" s="34" t="inlineStr">
        <is>
          <t>Dược học (hệ Quân sự + Dân sự)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vqy.edu.vn/" r:id="rId2"/>
    <hyperlink xmlns:r="http://schemas.openxmlformats.org/officeDocument/2006/relationships" ref="B6" display="https://tuyensinh.hvqy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1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Học viện Khoa học Quân sự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https://hocvienkhoahocquan.su.edu.vn/ hoặc trang Bộ Quốc phòng</t>
        </is>
      </c>
    </row>
    <row r="6" ht="15" customHeight="1" s="35">
      <c r="A6" s="66" t="inlineStr">
        <is>
          <t>Trang tuyển sinh:</t>
        </is>
      </c>
      <c r="B6" s="67" t="inlineStr">
        <is>
          <t>Trang tuyển sinh quân sự chung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hệ Quân sự 2025-2026. Nguồn: thông báo tuyển sinh HV KHQS.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7860231</t>
        </is>
      </c>
      <c r="C11" s="34" t="inlineStr">
        <is>
          <t>Trinh sát Kỹ thuật</t>
        </is>
      </c>
    </row>
    <row r="12">
      <c r="A12" s="34" t="n">
        <v>2</v>
      </c>
      <c r="B12" s="34" t="inlineStr">
        <is>
          <t>7220201</t>
        </is>
      </c>
      <c r="C12" s="34" t="inlineStr">
        <is>
          <t>Ngôn ngữ Anh</t>
        </is>
      </c>
    </row>
    <row r="13">
      <c r="A13" s="34" t="n">
        <v>3</v>
      </c>
      <c r="B13" s="34" t="inlineStr">
        <is>
          <t>7220202</t>
        </is>
      </c>
      <c r="C13" s="34" t="inlineStr">
        <is>
          <t>Ngôn ngữ Nga</t>
        </is>
      </c>
    </row>
    <row r="14">
      <c r="A14" s="34" t="n">
        <v>4</v>
      </c>
      <c r="B14" s="34" t="inlineStr">
        <is>
          <t>7220204</t>
        </is>
      </c>
      <c r="C14" s="34" t="inlineStr">
        <is>
          <t>Ngôn ngữ Trung Quốc</t>
        </is>
      </c>
    </row>
    <row r="15">
      <c r="A15" s="34" t="n">
        <v>5</v>
      </c>
      <c r="B15" s="34" t="inlineStr">
        <is>
          <t>7310206</t>
        </is>
      </c>
      <c r="C15" s="34" t="inlineStr">
        <is>
          <t>Quan hệ quốc tế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ocvienkhoahocquan.su.edu.vn/ hoặc trang Bộ Quốc phòng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2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Học viện Biên phòng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https://hocvienbienphong.edu.vn/</t>
        </is>
      </c>
    </row>
    <row r="6" ht="15" customHeight="1" s="35">
      <c r="A6" s="66" t="inlineStr">
        <is>
          <t>Trang tuyển sinh:</t>
        </is>
      </c>
      <c r="B6" s="67" t="inlineStr">
        <is>
          <t>Trang tuyển sinh quân sự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thông tin tuyển sinh HV Biên phòng.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7860214</t>
        </is>
      </c>
      <c r="C11" s="34" t="inlineStr">
        <is>
          <t>Biên phòng</t>
        </is>
      </c>
    </row>
    <row r="12">
      <c r="A12" s="34" t="n">
        <v>2</v>
      </c>
      <c r="B12" s="34" t="inlineStr">
        <is>
          <t>7380101</t>
        </is>
      </c>
      <c r="C12" s="34" t="inlineStr">
        <is>
          <t>Luật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ocvienbienphong.edu.vn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3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Học viện Hậu cần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https://hocvienhaucan.edu.vn/</t>
        </is>
      </c>
    </row>
    <row r="6" ht="15" customHeight="1" s="35">
      <c r="A6" s="66" t="inlineStr">
        <is>
          <t>Trang tuyển sinh:</t>
        </is>
      </c>
      <c r="B6" s="67" t="inlineStr">
        <is>
          <t>Trang tuyển sinh quân sự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2025-2026 (hệ Quân sự + Dân sự). Nguồn: đề án tuyển sinh.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7860218</t>
        </is>
      </c>
      <c r="C11" s="34" t="inlineStr">
        <is>
          <t>Hậu cần quân sự (hệ Quân sự)</t>
        </is>
      </c>
    </row>
    <row r="12">
      <c r="A12" s="34" t="n">
        <v>2</v>
      </c>
      <c r="B12" s="34" t="inlineStr">
        <is>
          <t>7340201</t>
        </is>
      </c>
      <c r="C12" s="34" t="inlineStr">
        <is>
          <t>Tài chính - Ngân hàng (hệ Dân sự)</t>
        </is>
      </c>
    </row>
    <row r="13">
      <c r="A13" s="34" t="n">
        <v>3</v>
      </c>
      <c r="B13" s="34" t="inlineStr">
        <is>
          <t>7340301</t>
        </is>
      </c>
      <c r="C13" s="34" t="inlineStr">
        <is>
          <t>Kế toán (hệ Dân sự)</t>
        </is>
      </c>
    </row>
    <row r="14">
      <c r="A14" s="34" t="n">
        <v>4</v>
      </c>
      <c r="B14" s="34" t="inlineStr">
        <is>
          <t>7580201</t>
        </is>
      </c>
      <c r="C14" s="34" t="inlineStr">
        <is>
          <t>Kỹ thuật xây dựng (hệ Dân sự)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ocvienhaucan.edu.vn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4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Học viện Phòng không - Không quân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https://hocvienpkkq.edu.vn/</t>
        </is>
      </c>
    </row>
    <row r="6" ht="15" customHeight="1" s="35">
      <c r="A6" s="66" t="inlineStr">
        <is>
          <t>Trang tuyển sinh:</t>
        </is>
      </c>
      <c r="B6" s="67" t="inlineStr">
        <is>
          <t>Trang tuyển sinh quân sự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thông tin tuyển sinh HV PK-KQ.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7860226</t>
        </is>
      </c>
      <c r="C11" s="34" t="inlineStr">
        <is>
          <t>Chỉ huy Tham mưu Phòng không, Không quân và Tác chiến điện tử</t>
        </is>
      </c>
    </row>
    <row r="12">
      <c r="A12" s="34" t="n">
        <v>2</v>
      </c>
      <c r="B12" s="34" t="inlineStr">
        <is>
          <t>7520120</t>
        </is>
      </c>
      <c r="C12" s="34" t="inlineStr">
        <is>
          <t>Kỹ thuật Hàng không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ocvienpkkq.edu.vn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5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Sĩ quan Lục quân 1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https://truongsq1.edu.vn/</t>
        </is>
      </c>
    </row>
    <row r="6" ht="15" customHeight="1" s="35">
      <c r="A6" s="66" t="inlineStr">
        <is>
          <t>Trang tuyển sinh:</t>
        </is>
      </c>
      <c r="B6" s="67" t="inlineStr">
        <is>
          <t>Trang tuyển sinh quân sự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đề án tuyển sinh SQ Lục quân 1.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7860201</t>
        </is>
      </c>
      <c r="C11" s="34" t="inlineStr">
        <is>
          <t>Chỉ huy Tham mưu Lục quân</t>
        </is>
      </c>
    </row>
    <row r="12">
      <c r="A12" s="34" t="n">
        <v>2</v>
      </c>
      <c r="B12" s="34" t="inlineStr">
        <is>
          <t>7860222</t>
        </is>
      </c>
      <c r="C12" s="34" t="inlineStr">
        <is>
          <t>Quân sự cơ sở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truongsq1.edu.vn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6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Sĩ quan Đặc công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https://truongdaccong.edu.vn/</t>
        </is>
      </c>
    </row>
    <row r="6" ht="15" customHeight="1" s="35">
      <c r="A6" s="66" t="inlineStr">
        <is>
          <t>Trang tuyển sinh:</t>
        </is>
      </c>
      <c r="B6" s="67" t="inlineStr">
        <is>
          <t>Trang tuyển sinh quân sự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đề án tuyển sinh.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7860207</t>
        </is>
      </c>
      <c r="C11" s="34" t="inlineStr">
        <is>
          <t>Chỉ huy - Tham mưu đặc công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truongdaccong.edu.vn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7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Sĩ quan Phòng hóa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https://truongphonghoa.edu.vn/</t>
        </is>
      </c>
    </row>
    <row r="6" ht="15" customHeight="1" s="35">
      <c r="A6" s="66" t="inlineStr">
        <is>
          <t>Trang tuyển sinh:</t>
        </is>
      </c>
      <c r="B6" s="67" t="inlineStr">
        <is>
          <t>Trang tuyển sinh quân sự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đề án tuyển sinh.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7860229</t>
        </is>
      </c>
      <c r="C11" s="34" t="inlineStr">
        <is>
          <t>Chỉ huy Kỹ thuật Hóa học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truongphonghoa.edu.vn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8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Sĩ quan Pháo binh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https://truongphaobinh.edu.vn/</t>
        </is>
      </c>
    </row>
    <row r="6" ht="15" customHeight="1" s="35">
      <c r="A6" s="66" t="inlineStr">
        <is>
          <t>Trang tuyển sinh:</t>
        </is>
      </c>
      <c r="B6" s="67" t="inlineStr">
        <is>
          <t>Trang tuyển sinh quân sự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thông tin tuyển sinh.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7860205</t>
        </is>
      </c>
      <c r="C11" s="34" t="inlineStr">
        <is>
          <t>Chỉ huy Tham mưu Pháo binh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truongphaobinh.edu.vn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9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Học viện An ninh nhân dân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https://hvanninh.edu.vn/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https://tuyensinh.hvanninh.edu.vn/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thông tin tuyển sinh HV An ninh ND.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7860100</t>
        </is>
      </c>
      <c r="C11" s="34" t="inlineStr">
        <is>
          <t>Nghiệp vụ an ninh</t>
        </is>
      </c>
    </row>
    <row r="12">
      <c r="A12" s="34" t="n">
        <v>2</v>
      </c>
      <c r="B12" s="34" t="inlineStr">
        <is>
          <t>7860114</t>
        </is>
      </c>
      <c r="C12" s="34" t="inlineStr">
        <is>
          <t>An ninh mạng và phòng chống tội phạm công nghệ cao</t>
        </is>
      </c>
    </row>
    <row r="13">
      <c r="A13" s="34" t="n">
        <v>3</v>
      </c>
      <c r="B13" s="34" t="inlineStr">
        <is>
          <t>7480201</t>
        </is>
      </c>
      <c r="C13" s="34" t="inlineStr">
        <is>
          <t>Công nghệ thông tin</t>
        </is>
      </c>
    </row>
    <row r="14">
      <c r="A14" s="34" t="n">
        <v>4</v>
      </c>
      <c r="B14" s="34" t="inlineStr">
        <is>
          <t>7480202</t>
        </is>
      </c>
      <c r="C14" s="34" t="inlineStr">
        <is>
          <t>An toàn thông tin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vanninh.edu.vn/" r:id="rId2"/>
    <hyperlink xmlns:r="http://schemas.openxmlformats.org/officeDocument/2006/relationships" ref="B6" display="https://tuyensinh.hvanninh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0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Học viện Cảnh sát nhân dân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https://hvcsnd.edu.vn/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https://tuyensinh.hvcsnd.edu.vn/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thông tin tuyển sinh HV Cảnh sát ND.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7860100</t>
        </is>
      </c>
      <c r="C11" s="34" t="inlineStr">
        <is>
          <t>Nghiệp vụ Cảnh sát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vcsnd.edu.vn/" r:id="rId2"/>
    <hyperlink xmlns:r="http://schemas.openxmlformats.org/officeDocument/2006/relationships" ref="B6" display="https://tuyensinh.hvcsnd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1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Học viện Chính trị Công an nhân dân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https://hocvienchinhtricand.edu.vn/</t>
        </is>
      </c>
    </row>
    <row r="6" ht="15" customHeight="1" s="35">
      <c r="A6" s="66" t="inlineStr">
        <is>
          <t>Trang tuyển sinh:</t>
        </is>
      </c>
      <c r="B6" s="67" t="inlineStr">
        <is>
          <t>Trang tuyển sinh công an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thông tin tuyển sinh HV Chính trị CAND.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7310202</t>
        </is>
      </c>
      <c r="C11" s="34" t="inlineStr">
        <is>
          <t>Xây dựng Đảng và chính quyền nhà nước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ocvienchinhtricand.edu.vn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2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Học viện Kỹ thuật và Công nghệ An ninh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https://hocvienkythuatanninh.edu.vn/</t>
        </is>
      </c>
    </row>
    <row r="6" ht="15" customHeight="1" s="35">
      <c r="A6" s="66" t="inlineStr">
        <is>
          <t>Trang tuyển sinh:</t>
        </is>
      </c>
      <c r="B6" s="67" t="inlineStr">
        <is>
          <t>Trang tuyển sinh công an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thông tin tuyển sinh.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7480200</t>
        </is>
      </c>
      <c r="C11" s="34" t="inlineStr">
        <is>
          <t>Nhóm ngành Kỹ thuật - Hậu cần</t>
        </is>
      </c>
    </row>
    <row r="12">
      <c r="A12" s="34" t="n">
        <v>2</v>
      </c>
      <c r="B12" s="34" t="inlineStr">
        <is>
          <t>7520207</t>
        </is>
      </c>
      <c r="C12" s="34" t="inlineStr">
        <is>
          <t>Kỹ thuật điện tử, viễn thông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ocvienkythuatanninh.edu.vn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3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Phòng cháy chữa cháy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Hà Nội</t>
        </is>
      </c>
    </row>
    <row r="4" ht="15" customHeight="1" s="35">
      <c r="A4" s="66" t="inlineStr">
        <is>
          <t>Tỉnh/TP (cũ):</t>
        </is>
      </c>
      <c r="B4" s="67" t="inlineStr">
        <is>
          <t>Hà Nội</t>
        </is>
      </c>
    </row>
    <row r="5" ht="15" customHeight="1" s="35">
      <c r="A5" s="66" t="inlineStr">
        <is>
          <t>Trang chủ:</t>
        </is>
      </c>
      <c r="B5" s="65" t="inlineStr">
        <is>
          <t>https://daihocpccc.edu.vn/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https://tuyensinh.daihocpccc.edu.vn/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thông báo tuyển sinh ĐH PCCC.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7860113</t>
        </is>
      </c>
      <c r="C11" s="34" t="inlineStr">
        <is>
          <t>Phòng cháy, chữa cháy và cứu nạn, cứu hộ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daihocpccc.edu.vn/" r:id="rId2"/>
    <hyperlink xmlns:r="http://schemas.openxmlformats.org/officeDocument/2006/relationships" ref="B6" display="https://tuyensinh.daihocpccc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4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Kinh tế và Quản trị Kinh doanh - ĐH Thái Nguyên (TUEBA)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Thái Nguyên</t>
        </is>
      </c>
    </row>
    <row r="4" ht="15" customHeight="1" s="35">
      <c r="A4" s="66" t="inlineStr">
        <is>
          <t>Tỉnh/TP (cũ):</t>
        </is>
      </c>
      <c r="B4" s="67" t="inlineStr">
        <is>
          <t>Thái Nguyên</t>
        </is>
      </c>
    </row>
    <row r="5" ht="15" customHeight="1" s="35">
      <c r="A5" s="66" t="inlineStr">
        <is>
          <t>Trang chủ:</t>
        </is>
      </c>
      <c r="B5" s="65" t="inlineStr">
        <is>
          <t>https://tueba.edu.vn/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https://tuyensinh.tueba.edu.vn/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các trang tuyển sinh TUEBA.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7460108</t>
        </is>
      </c>
      <c r="C11" s="34" t="inlineStr">
        <is>
          <t>Khoa học dữ liệu</t>
        </is>
      </c>
    </row>
    <row r="12">
      <c r="A12" s="34" t="n">
        <v>2</v>
      </c>
      <c r="B12" s="34" t="inlineStr">
        <is>
          <t>7510605</t>
        </is>
      </c>
      <c r="C12" s="34" t="inlineStr">
        <is>
          <t>Logistics và Quản lý chuỗi cung ứng</t>
        </is>
      </c>
    </row>
    <row r="13">
      <c r="A13" s="34" t="n">
        <v>3</v>
      </c>
      <c r="B13" s="34" t="inlineStr">
        <is>
          <t>7340201</t>
        </is>
      </c>
      <c r="C13" s="34" t="inlineStr">
        <is>
          <t>Tài chính - Ngân hàng</t>
        </is>
      </c>
    </row>
    <row r="14">
      <c r="A14" s="34" t="n">
        <v>4</v>
      </c>
      <c r="B14" s="34" t="inlineStr">
        <is>
          <t>7340301</t>
        </is>
      </c>
      <c r="C14" s="34" t="inlineStr">
        <is>
          <t>Kế toán</t>
        </is>
      </c>
    </row>
    <row r="15">
      <c r="A15" s="34" t="n">
        <v>5</v>
      </c>
      <c r="B15" s="34" t="inlineStr">
        <is>
          <t>7340403</t>
        </is>
      </c>
      <c r="C15" s="34" t="inlineStr">
        <is>
          <t>Quản lý kinh tế</t>
        </is>
      </c>
    </row>
    <row r="16">
      <c r="A16" s="34" t="n">
        <v>6</v>
      </c>
      <c r="B16" s="34" t="inlineStr">
        <is>
          <t>7340404</t>
        </is>
      </c>
      <c r="C16" s="34" t="inlineStr">
        <is>
          <t>Quản trị nhân lực</t>
        </is>
      </c>
    </row>
    <row r="17">
      <c r="A17" s="34" t="n">
        <v>7</v>
      </c>
      <c r="B17" s="34" t="inlineStr">
        <is>
          <t>7380107</t>
        </is>
      </c>
      <c r="C17" s="34" t="inlineStr">
        <is>
          <t>Luật kinh tế</t>
        </is>
      </c>
    </row>
    <row r="18">
      <c r="A18" s="34" t="n">
        <v>8</v>
      </c>
      <c r="B18" s="34" t="inlineStr">
        <is>
          <t>7310101</t>
        </is>
      </c>
      <c r="C18" s="34" t="inlineStr">
        <is>
          <t>Kinh tế</t>
        </is>
      </c>
    </row>
    <row r="19">
      <c r="A19" s="34" t="n">
        <v>9</v>
      </c>
      <c r="B19" s="34" t="inlineStr">
        <is>
          <t>7310104</t>
        </is>
      </c>
      <c r="C19" s="34" t="inlineStr">
        <is>
          <t>Kinh tế đầu tư</t>
        </is>
      </c>
    </row>
    <row r="20">
      <c r="A20" s="34" t="n">
        <v>10</v>
      </c>
      <c r="B20" s="34" t="inlineStr">
        <is>
          <t>7310105</t>
        </is>
      </c>
      <c r="C20" s="34" t="inlineStr">
        <is>
          <t>Kinh tế phát triển</t>
        </is>
      </c>
    </row>
    <row r="21">
      <c r="A21" s="34" t="n">
        <v>11</v>
      </c>
      <c r="B21" s="34" t="inlineStr">
        <is>
          <t>7340101</t>
        </is>
      </c>
      <c r="C21" s="34" t="inlineStr">
        <is>
          <t>Quản trị kinh doanh</t>
        </is>
      </c>
    </row>
    <row r="22">
      <c r="A22" s="34" t="n">
        <v>12</v>
      </c>
      <c r="B22" s="34" t="inlineStr">
        <is>
          <t>7340115</t>
        </is>
      </c>
      <c r="C22" s="34" t="inlineStr">
        <is>
          <t>Quản trị marketing</t>
        </is>
      </c>
    </row>
    <row r="23">
      <c r="A23" s="34" t="n">
        <v>13</v>
      </c>
      <c r="B23" s="34" t="inlineStr">
        <is>
          <t>7340120</t>
        </is>
      </c>
      <c r="C23" s="34" t="inlineStr">
        <is>
          <t>Kinh doanh quốc tế</t>
        </is>
      </c>
    </row>
    <row r="24">
      <c r="A24" s="34" t="n">
        <v>14</v>
      </c>
      <c r="B24" s="34" t="inlineStr">
        <is>
          <t>7340122</t>
        </is>
      </c>
      <c r="C24" s="34" t="inlineStr">
        <is>
          <t>Thương mại điện tử</t>
        </is>
      </c>
    </row>
    <row r="25">
      <c r="A25" s="34" t="n">
        <v>15</v>
      </c>
      <c r="B25" s="34" t="inlineStr">
        <is>
          <t>7810103</t>
        </is>
      </c>
      <c r="C25" s="34" t="inlineStr">
        <is>
          <t>Quản trị dịch vụ du lịch và lữ hành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tueba.edu.vn/" r:id="rId2"/>
    <hyperlink xmlns:r="http://schemas.openxmlformats.org/officeDocument/2006/relationships" ref="B6" display="https://tuyensinh.tueba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5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Công nghệ Thông tin và Truyền thông - ĐH Thái Nguyên (ICTU)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Thái Nguyên</t>
        </is>
      </c>
    </row>
    <row r="4" ht="15" customHeight="1" s="35">
      <c r="A4" s="66" t="inlineStr">
        <is>
          <t>Tỉnh/TP (cũ):</t>
        </is>
      </c>
      <c r="B4" s="67" t="inlineStr">
        <is>
          <t>Thái Nguyên</t>
        </is>
      </c>
    </row>
    <row r="5" ht="15" customHeight="1" s="35">
      <c r="A5" s="66" t="inlineStr">
        <is>
          <t>Trang chủ:</t>
        </is>
      </c>
      <c r="B5" s="65" t="inlineStr">
        <is>
          <t>https://ictu.edu.vn/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https://tuyensinh.ictu.edu.vn/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tuyensinh.ictu.edu.vn.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7480201</t>
        </is>
      </c>
      <c r="C11" s="34" t="inlineStr">
        <is>
          <t>Công nghệ thông tin</t>
        </is>
      </c>
    </row>
    <row r="12">
      <c r="A12" s="34" t="n">
        <v>2</v>
      </c>
      <c r="B12" s="34" t="inlineStr">
        <is>
          <t>7480103</t>
        </is>
      </c>
      <c r="C12" s="34" t="inlineStr">
        <is>
          <t>Kỹ thuật phần mềm</t>
        </is>
      </c>
    </row>
    <row r="13">
      <c r="A13" s="34" t="n">
        <v>3</v>
      </c>
      <c r="B13" s="34" t="inlineStr">
        <is>
          <t>7480106</t>
        </is>
      </c>
      <c r="C13" s="34" t="inlineStr">
        <is>
          <t>Kỹ thuật máy tính</t>
        </is>
      </c>
    </row>
    <row r="14">
      <c r="A14" s="34" t="n">
        <v>4</v>
      </c>
      <c r="B14" s="34" t="inlineStr">
        <is>
          <t>7480202</t>
        </is>
      </c>
      <c r="C14" s="34" t="inlineStr">
        <is>
          <t>An ninh mạng</t>
        </is>
      </c>
    </row>
    <row r="15">
      <c r="A15" s="34" t="n">
        <v>5</v>
      </c>
      <c r="B15" s="34" t="inlineStr">
        <is>
          <t>7480101</t>
        </is>
      </c>
      <c r="C15" s="34" t="inlineStr">
        <is>
          <t>Khoa học máy tính</t>
        </is>
      </c>
    </row>
    <row r="16">
      <c r="A16" s="34" t="n">
        <v>6</v>
      </c>
      <c r="B16" s="34" t="inlineStr">
        <is>
          <t>7510203</t>
        </is>
      </c>
      <c r="C16" s="34" t="inlineStr">
        <is>
          <t>Cơ điện tử</t>
        </is>
      </c>
    </row>
    <row r="17">
      <c r="A17" s="34" t="n">
        <v>7</v>
      </c>
      <c r="B17" s="34" t="inlineStr">
        <is>
          <t>7510205</t>
        </is>
      </c>
      <c r="C17" s="34" t="inlineStr">
        <is>
          <t>Công nghệ ô tô</t>
        </is>
      </c>
    </row>
    <row r="18">
      <c r="A18" s="34" t="n">
        <v>8</v>
      </c>
      <c r="B18" s="34" t="inlineStr">
        <is>
          <t>7510301</t>
        </is>
      </c>
      <c r="C18" s="34" t="inlineStr">
        <is>
          <t>Kỹ thuật điện, điện tử</t>
        </is>
      </c>
    </row>
    <row r="19">
      <c r="A19" s="34" t="n">
        <v>9</v>
      </c>
      <c r="B19" s="34" t="inlineStr">
        <is>
          <t>7510302</t>
        </is>
      </c>
      <c r="C19" s="34" t="inlineStr">
        <is>
          <t>Công nghệ kỹ thuật điện tử - viễn thông</t>
        </is>
      </c>
    </row>
    <row r="20">
      <c r="A20" s="34" t="n">
        <v>10</v>
      </c>
      <c r="B20" s="34" t="inlineStr">
        <is>
          <t>7520216</t>
        </is>
      </c>
      <c r="C20" s="34" t="inlineStr">
        <is>
          <t>Tự động hóa</t>
        </is>
      </c>
    </row>
    <row r="21">
      <c r="A21" s="34" t="n">
        <v>11</v>
      </c>
      <c r="B21" s="34" t="inlineStr">
        <is>
          <t>7340101</t>
        </is>
      </c>
      <c r="C21" s="34" t="inlineStr">
        <is>
          <t>Quản trị kinh doanh số</t>
        </is>
      </c>
    </row>
    <row r="22">
      <c r="A22" s="34" t="n">
        <v>12</v>
      </c>
      <c r="B22" s="34" t="inlineStr">
        <is>
          <t>7340115</t>
        </is>
      </c>
      <c r="C22" s="34" t="inlineStr">
        <is>
          <t>Marketing số</t>
        </is>
      </c>
    </row>
    <row r="23">
      <c r="A23" s="34" t="n">
        <v>13</v>
      </c>
      <c r="B23" s="34" t="inlineStr">
        <is>
          <t>7340122</t>
        </is>
      </c>
      <c r="C23" s="34" t="inlineStr">
        <is>
          <t>Thương mại điện tử</t>
        </is>
      </c>
    </row>
    <row r="24">
      <c r="A24" s="34" t="n">
        <v>14</v>
      </c>
      <c r="B24" s="34" t="inlineStr">
        <is>
          <t>7510605</t>
        </is>
      </c>
      <c r="C24" s="34" t="inlineStr">
        <is>
          <t>Quản lý logistics và chuỗi cung ứng</t>
        </is>
      </c>
    </row>
    <row r="25">
      <c r="A25" s="34" t="n">
        <v>15</v>
      </c>
      <c r="B25" s="34" t="inlineStr">
        <is>
          <t>7220201</t>
        </is>
      </c>
      <c r="C25" s="34" t="inlineStr">
        <is>
          <t>Ngôn ngữ Anh</t>
        </is>
      </c>
    </row>
    <row r="26">
      <c r="A26" s="34" t="n">
        <v>16</v>
      </c>
      <c r="B26" s="34" t="inlineStr">
        <is>
          <t>7210403</t>
        </is>
      </c>
      <c r="C26" s="34" t="inlineStr">
        <is>
          <t>Thiết kế đồ họa</t>
        </is>
      </c>
    </row>
    <row r="27">
      <c r="A27" s="34" t="n">
        <v>17</v>
      </c>
      <c r="B27" s="34" t="inlineStr">
        <is>
          <t>7320104</t>
        </is>
      </c>
      <c r="C27" s="34" t="inlineStr">
        <is>
          <t>Truyền thông đa phương tiện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ictu.edu.vn/" r:id="rId2"/>
    <hyperlink xmlns:r="http://schemas.openxmlformats.org/officeDocument/2006/relationships" ref="B6" display="https://tuyensinh.ict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6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Kỹ thuật Công nghiệp - ĐH Thái Nguyên (TNUT)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Thái Nguyên</t>
        </is>
      </c>
    </row>
    <row r="4" ht="15" customHeight="1" s="35">
      <c r="A4" s="66" t="inlineStr">
        <is>
          <t>Tỉnh/TP (cũ):</t>
        </is>
      </c>
      <c r="B4" s="67" t="inlineStr">
        <is>
          <t>Thái Nguyên</t>
        </is>
      </c>
    </row>
    <row r="5" ht="15" customHeight="1" s="35">
      <c r="A5" s="66" t="inlineStr">
        <is>
          <t>Trang chủ:</t>
        </is>
      </c>
      <c r="B5" s="65" t="inlineStr">
        <is>
          <t>https://tnut.edu.vn/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https://tuyensinh.tnut.edu.vn/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các trang tuyển sinh TNUT.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7520103</t>
        </is>
      </c>
      <c r="C11" s="34" t="inlineStr">
        <is>
          <t>Kỹ thuật Cơ khí</t>
        </is>
      </c>
    </row>
    <row r="12">
      <c r="A12" s="34" t="n">
        <v>2</v>
      </c>
      <c r="B12" s="34" t="inlineStr">
        <is>
          <t>7520114</t>
        </is>
      </c>
      <c r="C12" s="34" t="inlineStr">
        <is>
          <t>Kỹ thuật Cơ điện tử</t>
        </is>
      </c>
    </row>
    <row r="13">
      <c r="A13" s="34" t="n">
        <v>3</v>
      </c>
      <c r="B13" s="34" t="inlineStr">
        <is>
          <t>7520107</t>
        </is>
      </c>
      <c r="C13" s="34" t="inlineStr">
        <is>
          <t>Kỹ thuật Robot</t>
        </is>
      </c>
    </row>
    <row r="14">
      <c r="A14" s="34" t="n">
        <v>4</v>
      </c>
      <c r="B14" s="34" t="inlineStr">
        <is>
          <t>7520216</t>
        </is>
      </c>
      <c r="C14" s="34" t="inlineStr">
        <is>
          <t>Kỹ thuật Điều khiển và tự động hoá</t>
        </is>
      </c>
    </row>
    <row r="15">
      <c r="A15" s="34" t="n">
        <v>5</v>
      </c>
      <c r="B15" s="34" t="inlineStr">
        <is>
          <t>7520201</t>
        </is>
      </c>
      <c r="C15" s="34" t="inlineStr">
        <is>
          <t>Kỹ thuật Điện</t>
        </is>
      </c>
    </row>
    <row r="16">
      <c r="A16" s="34" t="n">
        <v>6</v>
      </c>
      <c r="B16" s="34" t="inlineStr">
        <is>
          <t>7520207</t>
        </is>
      </c>
      <c r="C16" s="34" t="inlineStr">
        <is>
          <t>Kỹ thuật Điện tử - viễn thông</t>
        </is>
      </c>
    </row>
    <row r="17">
      <c r="A17" s="34" t="n">
        <v>7</v>
      </c>
      <c r="B17" s="34" t="inlineStr">
        <is>
          <t>7520116</t>
        </is>
      </c>
      <c r="C17" s="34" t="inlineStr">
        <is>
          <t>Kỹ thuật ô tô</t>
        </is>
      </c>
    </row>
    <row r="18">
      <c r="A18" s="34" t="n">
        <v>8</v>
      </c>
      <c r="B18" s="34" t="inlineStr">
        <is>
          <t>7520309</t>
        </is>
      </c>
      <c r="C18" s="34" t="inlineStr">
        <is>
          <t>Kỹ thuật Vật liệu</t>
        </is>
      </c>
    </row>
    <row r="19">
      <c r="A19" s="34" t="n">
        <v>9</v>
      </c>
      <c r="B19" s="34" t="inlineStr">
        <is>
          <t>7580201</t>
        </is>
      </c>
      <c r="C19" s="34" t="inlineStr">
        <is>
          <t>Kỹ thuật xây dựng</t>
        </is>
      </c>
    </row>
    <row r="20">
      <c r="A20" s="34" t="n">
        <v>10</v>
      </c>
      <c r="B20" s="34" t="inlineStr">
        <is>
          <t>7520320</t>
        </is>
      </c>
      <c r="C20" s="34" t="inlineStr">
        <is>
          <t>Kỹ thuật môi trường</t>
        </is>
      </c>
    </row>
    <row r="21">
      <c r="A21" s="34" t="n">
        <v>11</v>
      </c>
      <c r="B21" s="34" t="inlineStr">
        <is>
          <t>7510303</t>
        </is>
      </c>
      <c r="C21" s="34" t="inlineStr">
        <is>
          <t>Công nghệ kỹ thuật điều khiển và tự động hóa</t>
        </is>
      </c>
    </row>
    <row r="22">
      <c r="A22" s="34" t="n">
        <v>12</v>
      </c>
      <c r="B22" s="34" t="inlineStr">
        <is>
          <t>7510205</t>
        </is>
      </c>
      <c r="C22" s="34" t="inlineStr">
        <is>
          <t>Công nghệ kỹ thuật ô tô</t>
        </is>
      </c>
    </row>
    <row r="23">
      <c r="A23" s="34" t="n">
        <v>13</v>
      </c>
      <c r="B23" s="34" t="inlineStr">
        <is>
          <t>7510601</t>
        </is>
      </c>
      <c r="C23" s="34" t="inlineStr">
        <is>
          <t>Quản lý công nghiệp</t>
        </is>
      </c>
    </row>
    <row r="24">
      <c r="A24" s="34" t="n">
        <v>14</v>
      </c>
      <c r="B24" s="34" t="inlineStr">
        <is>
          <t>7510604</t>
        </is>
      </c>
      <c r="C24" s="34" t="inlineStr">
        <is>
          <t>Kinh tế công nghiệp</t>
        </is>
      </c>
    </row>
    <row r="25">
      <c r="A25" s="34" t="n">
        <v>15</v>
      </c>
      <c r="B25" s="34" t="inlineStr">
        <is>
          <t>7220201</t>
        </is>
      </c>
      <c r="C25" s="34" t="inlineStr">
        <is>
          <t>Ngôn ngữ Anh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tnut.edu.vn/" r:id="rId2"/>
    <hyperlink xmlns:r="http://schemas.openxmlformats.org/officeDocument/2006/relationships" ref="B6" display="https://tuyensinh.tnut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7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Nông Lâm - ĐH Thái Nguyên (TUAF)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Thái Nguyên</t>
        </is>
      </c>
    </row>
    <row r="4" ht="15" customHeight="1" s="35">
      <c r="A4" s="66" t="inlineStr">
        <is>
          <t>Tỉnh/TP (cũ):</t>
        </is>
      </c>
      <c r="B4" s="67" t="inlineStr">
        <is>
          <t>Thái Nguyên</t>
        </is>
      </c>
    </row>
    <row r="5" ht="15" customHeight="1" s="35">
      <c r="A5" s="66" t="inlineStr">
        <is>
          <t>Trang chủ:</t>
        </is>
      </c>
      <c r="B5" s="65" t="inlineStr">
        <is>
          <t>https://tuaf.edu.vn/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https://tuyensinh.tuaf.edu.vn/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2025-2026. Nguồn: các trang tuyển sinh TUAF.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7620105</t>
        </is>
      </c>
      <c r="C11" s="34" t="inlineStr">
        <is>
          <t>Chăn nuôi thú Y</t>
        </is>
      </c>
    </row>
    <row r="12">
      <c r="A12" s="34" t="n">
        <v>2</v>
      </c>
      <c r="B12" s="34" t="inlineStr">
        <is>
          <t>7420201</t>
        </is>
      </c>
      <c r="C12" s="34" t="inlineStr">
        <is>
          <t>Công nghệ sinh học</t>
        </is>
      </c>
    </row>
    <row r="13">
      <c r="A13" s="34" t="n">
        <v>3</v>
      </c>
      <c r="B13" s="34" t="inlineStr">
        <is>
          <t>7540101</t>
        </is>
      </c>
      <c r="C13" s="34" t="inlineStr">
        <is>
          <t>Công nghệ thực phẩm</t>
        </is>
      </c>
    </row>
    <row r="14">
      <c r="A14" s="34" t="n">
        <v>4</v>
      </c>
      <c r="B14" s="34" t="inlineStr">
        <is>
          <t>7540106</t>
        </is>
      </c>
      <c r="C14" s="34" t="inlineStr">
        <is>
          <t>Đảm bảo chất lượng &amp; An toàn thực phẩm</t>
        </is>
      </c>
    </row>
    <row r="15">
      <c r="A15" s="34" t="n">
        <v>5</v>
      </c>
      <c r="B15" s="34" t="inlineStr">
        <is>
          <t>7549002</t>
        </is>
      </c>
      <c r="C15" s="34" t="inlineStr">
        <is>
          <t>Dược liệu và hợp chất thiên nhiên</t>
        </is>
      </c>
    </row>
    <row r="16">
      <c r="A16" s="34" t="n">
        <v>6</v>
      </c>
      <c r="B16" s="34" t="inlineStr">
        <is>
          <t>7440301</t>
        </is>
      </c>
      <c r="C16" s="34" t="inlineStr">
        <is>
          <t>Khoa học môi trường</t>
        </is>
      </c>
    </row>
    <row r="17">
      <c r="A17" s="34" t="n">
        <v>7</v>
      </c>
      <c r="B17" s="34" t="inlineStr">
        <is>
          <t>7620110</t>
        </is>
      </c>
      <c r="C17" s="34" t="inlineStr">
        <is>
          <t>Khoa học cây trồng</t>
        </is>
      </c>
    </row>
    <row r="18">
      <c r="A18" s="34" t="n">
        <v>8</v>
      </c>
      <c r="B18" s="34" t="inlineStr">
        <is>
          <t>7620115</t>
        </is>
      </c>
      <c r="C18" s="34" t="inlineStr">
        <is>
          <t>Kinh tế nông nghiệp</t>
        </is>
      </c>
    </row>
    <row r="19">
      <c r="A19" s="34" t="n">
        <v>9</v>
      </c>
      <c r="B19" s="34" t="inlineStr">
        <is>
          <t>7620205</t>
        </is>
      </c>
      <c r="C19" s="34" t="inlineStr">
        <is>
          <t>Lâm sinh</t>
        </is>
      </c>
    </row>
    <row r="20">
      <c r="A20" s="34" t="n">
        <v>10</v>
      </c>
      <c r="B20" s="34" t="inlineStr">
        <is>
          <t>7220201</t>
        </is>
      </c>
      <c r="C20" s="34" t="inlineStr">
        <is>
          <t>Ngôn ngữ Anh</t>
        </is>
      </c>
    </row>
    <row r="21">
      <c r="A21" s="34" t="n">
        <v>11</v>
      </c>
      <c r="B21" s="34" t="inlineStr">
        <is>
          <t>7620101</t>
        </is>
      </c>
      <c r="C21" s="34" t="inlineStr">
        <is>
          <t>Nông nghiệp công nghệ cao</t>
        </is>
      </c>
    </row>
    <row r="22">
      <c r="A22" s="34" t="n">
        <v>12</v>
      </c>
      <c r="B22" s="34" t="inlineStr">
        <is>
          <t>7850103</t>
        </is>
      </c>
      <c r="C22" s="34" t="inlineStr">
        <is>
          <t>Quản lý đất đai</t>
        </is>
      </c>
    </row>
    <row r="23">
      <c r="A23" s="34" t="n">
        <v>13</v>
      </c>
      <c r="B23" s="34" t="inlineStr">
        <is>
          <t>7310110</t>
        </is>
      </c>
      <c r="C23" s="34" t="inlineStr">
        <is>
          <t>Quản lý kinh tế</t>
        </is>
      </c>
    </row>
    <row r="24">
      <c r="A24" s="34" t="n">
        <v>14</v>
      </c>
      <c r="B24" s="34" t="inlineStr">
        <is>
          <t>7580109</t>
        </is>
      </c>
      <c r="C24" s="34" t="inlineStr">
        <is>
          <t>Quản lý phát triển đô thị và bất động sản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tuaf.edu.vn/" r:id="rId2"/>
    <hyperlink xmlns:r="http://schemas.openxmlformats.org/officeDocument/2006/relationships" ref="B6" display="https://tuyensinh.tuaf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8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Y - Dược - ĐH Thái Nguyên (TUMP)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Thái Nguyên</t>
        </is>
      </c>
    </row>
    <row r="4" ht="15" customHeight="1" s="35">
      <c r="A4" s="66" t="inlineStr">
        <is>
          <t>Tỉnh/TP (cũ):</t>
        </is>
      </c>
      <c r="B4" s="67" t="inlineStr">
        <is>
          <t>Thái Nguyên</t>
        </is>
      </c>
    </row>
    <row r="5" ht="15" customHeight="1" s="35">
      <c r="A5" s="66" t="inlineStr">
        <is>
          <t>Trang chủ:</t>
        </is>
      </c>
      <c r="B5" s="65" t="inlineStr">
        <is>
          <t>https://tump.edu.vn/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https://tuyensinh.tump.edu.vn/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các trang tuyển sinh TUMP.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7720101</t>
        </is>
      </c>
      <c r="C11" s="34" t="inlineStr">
        <is>
          <t>Y khoa</t>
        </is>
      </c>
    </row>
    <row r="12">
      <c r="A12" s="34" t="n">
        <v>2</v>
      </c>
      <c r="B12" s="34" t="inlineStr">
        <is>
          <t>7720501</t>
        </is>
      </c>
      <c r="C12" s="34" t="inlineStr">
        <is>
          <t>Răng hàm mặt</t>
        </is>
      </c>
    </row>
    <row r="13">
      <c r="A13" s="34" t="n">
        <v>3</v>
      </c>
      <c r="B13" s="34" t="inlineStr">
        <is>
          <t>7720201</t>
        </is>
      </c>
      <c r="C13" s="34" t="inlineStr">
        <is>
          <t>Dược học</t>
        </is>
      </c>
    </row>
    <row r="14">
      <c r="A14" s="34" t="n">
        <v>4</v>
      </c>
      <c r="B14" s="34" t="inlineStr">
        <is>
          <t>7720110</t>
        </is>
      </c>
      <c r="C14" s="34" t="inlineStr">
        <is>
          <t>Y học dự phòng</t>
        </is>
      </c>
    </row>
    <row r="15">
      <c r="A15" s="34" t="n">
        <v>5</v>
      </c>
      <c r="B15" s="34" t="inlineStr">
        <is>
          <t>7720301</t>
        </is>
      </c>
      <c r="C15" s="34" t="inlineStr">
        <is>
          <t>Điều dưỡng</t>
        </is>
      </c>
    </row>
    <row r="16">
      <c r="A16" s="34" t="n">
        <v>6</v>
      </c>
      <c r="B16" s="34" t="inlineStr">
        <is>
          <t>7720601</t>
        </is>
      </c>
      <c r="C16" s="34" t="inlineStr">
        <is>
          <t>Kỹ thuật xét nghiệm y học</t>
        </is>
      </c>
    </row>
    <row r="17">
      <c r="A17" s="34" t="n">
        <v>7</v>
      </c>
      <c r="B17" s="34" t="inlineStr">
        <is>
          <t>7720302</t>
        </is>
      </c>
      <c r="C17" s="34" t="inlineStr">
        <is>
          <t>Hộ sinh</t>
        </is>
      </c>
    </row>
    <row r="18">
      <c r="A18" s="34" t="n">
        <v>8</v>
      </c>
      <c r="B18" s="34" t="inlineStr">
        <is>
          <t>7720602</t>
        </is>
      </c>
      <c r="C18" s="34" t="inlineStr">
        <is>
          <t>Kỹ thuật hình ảnh y học</t>
        </is>
      </c>
    </row>
    <row r="19">
      <c r="A19" s="34" t="n">
        <v>9</v>
      </c>
      <c r="B19" s="34" t="inlineStr">
        <is>
          <t>7720603</t>
        </is>
      </c>
      <c r="C19" s="34" t="inlineStr">
        <is>
          <t>Kỹ thuật phục hồi chức năng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tump.edu.vn/" r:id="rId2"/>
    <hyperlink xmlns:r="http://schemas.openxmlformats.org/officeDocument/2006/relationships" ref="B6" display="https://tuyensinh.tump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9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Sư phạm - ĐH Thái Nguyên (TNUE)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Thái Nguyên</t>
        </is>
      </c>
    </row>
    <row r="4" ht="15" customHeight="1" s="35">
      <c r="A4" s="66" t="inlineStr">
        <is>
          <t>Tỉnh/TP (cũ):</t>
        </is>
      </c>
      <c r="B4" s="67" t="inlineStr">
        <is>
          <t>Thái Nguyên</t>
        </is>
      </c>
    </row>
    <row r="5" ht="15" customHeight="1" s="35">
      <c r="A5" s="66" t="inlineStr">
        <is>
          <t>Trang chủ:</t>
        </is>
      </c>
      <c r="B5" s="65" t="inlineStr">
        <is>
          <t>https://tnue.edu.vn/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https://tuyensinh.tnue.edu.vn/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đề án tuyển sinh TNUE.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7140101</t>
        </is>
      </c>
      <c r="C11" s="34" t="inlineStr">
        <is>
          <t>Giáo dục học</t>
        </is>
      </c>
    </row>
    <row r="12">
      <c r="A12" s="34" t="n">
        <v>2</v>
      </c>
      <c r="B12" s="34" t="inlineStr">
        <is>
          <t>7140201</t>
        </is>
      </c>
      <c r="C12" s="34" t="inlineStr">
        <is>
          <t>Giáo dục Mầm non</t>
        </is>
      </c>
    </row>
    <row r="13">
      <c r="A13" s="34" t="n">
        <v>3</v>
      </c>
      <c r="B13" s="34" t="inlineStr">
        <is>
          <t>7140202</t>
        </is>
      </c>
      <c r="C13" s="34" t="inlineStr">
        <is>
          <t>Giáo dục Tiểu học</t>
        </is>
      </c>
    </row>
    <row r="14">
      <c r="A14" s="34" t="n">
        <v>4</v>
      </c>
      <c r="B14" s="34" t="inlineStr">
        <is>
          <t>7140204</t>
        </is>
      </c>
      <c r="C14" s="34" t="inlineStr">
        <is>
          <t>Giáo dục Công dân</t>
        </is>
      </c>
    </row>
    <row r="15">
      <c r="A15" s="34" t="n">
        <v>5</v>
      </c>
      <c r="B15" s="34" t="inlineStr">
        <is>
          <t>7140205</t>
        </is>
      </c>
      <c r="C15" s="34" t="inlineStr">
        <is>
          <t>Giáo dục Chính trị</t>
        </is>
      </c>
    </row>
    <row r="16">
      <c r="A16" s="34" t="n">
        <v>6</v>
      </c>
      <c r="B16" s="34" t="inlineStr">
        <is>
          <t>7140206</t>
        </is>
      </c>
      <c r="C16" s="34" t="inlineStr">
        <is>
          <t>Giáo dục thể chất</t>
        </is>
      </c>
    </row>
    <row r="17">
      <c r="A17" s="34" t="n">
        <v>7</v>
      </c>
      <c r="B17" s="34" t="inlineStr">
        <is>
          <t>7140209</t>
        </is>
      </c>
      <c r="C17" s="34" t="inlineStr">
        <is>
          <t>Sư phạm Toán học</t>
        </is>
      </c>
    </row>
    <row r="18">
      <c r="A18" s="34" t="n">
        <v>8</v>
      </c>
      <c r="B18" s="34" t="inlineStr">
        <is>
          <t>7140210</t>
        </is>
      </c>
      <c r="C18" s="34" t="inlineStr">
        <is>
          <t>Sư phạm Tin học</t>
        </is>
      </c>
    </row>
    <row r="19">
      <c r="A19" s="34" t="n">
        <v>9</v>
      </c>
      <c r="B19" s="34" t="inlineStr">
        <is>
          <t>7140211</t>
        </is>
      </c>
      <c r="C19" s="34" t="inlineStr">
        <is>
          <t>Sư phạm Vật lý</t>
        </is>
      </c>
    </row>
    <row r="20">
      <c r="A20" s="34" t="n">
        <v>10</v>
      </c>
      <c r="B20" s="34" t="inlineStr">
        <is>
          <t>7140212</t>
        </is>
      </c>
      <c r="C20" s="34" t="inlineStr">
        <is>
          <t>Sư phạm Hóa học</t>
        </is>
      </c>
    </row>
    <row r="21">
      <c r="A21" s="34" t="n">
        <v>11</v>
      </c>
      <c r="B21" s="34" t="inlineStr">
        <is>
          <t>7140213</t>
        </is>
      </c>
      <c r="C21" s="34" t="inlineStr">
        <is>
          <t>Sư phạm Sinh học</t>
        </is>
      </c>
    </row>
    <row r="22">
      <c r="A22" s="34" t="n">
        <v>12</v>
      </c>
      <c r="B22" s="34" t="inlineStr">
        <is>
          <t>7140217</t>
        </is>
      </c>
      <c r="C22" s="34" t="inlineStr">
        <is>
          <t>Sư phạm Ngữ văn</t>
        </is>
      </c>
    </row>
    <row r="23">
      <c r="A23" s="34" t="n">
        <v>13</v>
      </c>
      <c r="B23" s="34" t="inlineStr">
        <is>
          <t>7140218</t>
        </is>
      </c>
      <c r="C23" s="34" t="inlineStr">
        <is>
          <t>Sư phạm Lịch sử</t>
        </is>
      </c>
    </row>
    <row r="24">
      <c r="A24" s="34" t="n">
        <v>14</v>
      </c>
      <c r="B24" s="34" t="inlineStr">
        <is>
          <t>7140219</t>
        </is>
      </c>
      <c r="C24" s="34" t="inlineStr">
        <is>
          <t>Sư phạm Địa lý</t>
        </is>
      </c>
    </row>
    <row r="25">
      <c r="A25" s="34" t="n">
        <v>15</v>
      </c>
      <c r="B25" s="34" t="inlineStr">
        <is>
          <t>7140231</t>
        </is>
      </c>
      <c r="C25" s="34" t="inlineStr">
        <is>
          <t>Sư phạm Tiếng Anh</t>
        </is>
      </c>
    </row>
    <row r="26">
      <c r="A26" s="34" t="n">
        <v>16</v>
      </c>
      <c r="B26" s="34" t="inlineStr">
        <is>
          <t>7140247</t>
        </is>
      </c>
      <c r="C26" s="34" t="inlineStr">
        <is>
          <t>Sư phạm Khoa học tự nhiên</t>
        </is>
      </c>
    </row>
    <row r="27">
      <c r="A27" s="34" t="n">
        <v>17</v>
      </c>
      <c r="B27" s="34" t="inlineStr">
        <is>
          <t>7140249</t>
        </is>
      </c>
      <c r="C27" s="34" t="inlineStr">
        <is>
          <t>Sư phạm Lịch sử – Địa lý</t>
        </is>
      </c>
    </row>
    <row r="28">
      <c r="A28" s="34" t="n">
        <v>18</v>
      </c>
      <c r="B28" s="34" t="inlineStr">
        <is>
          <t>7310403</t>
        </is>
      </c>
      <c r="C28" s="34" t="inlineStr">
        <is>
          <t>Tâm lý học giáo dục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tnue.edu.vn/" r:id="rId2"/>
    <hyperlink xmlns:r="http://schemas.openxmlformats.org/officeDocument/2006/relationships" ref="B6" display="https://tuyensinh.tnue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0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Hải Phòng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Hải Phòng</t>
        </is>
      </c>
    </row>
    <row r="4" ht="15" customHeight="1" s="35">
      <c r="A4" s="66" t="inlineStr">
        <is>
          <t>Tỉnh/TP (cũ):</t>
        </is>
      </c>
      <c r="B4" s="67" t="inlineStr">
        <is>
          <t>Hải Phòng</t>
        </is>
      </c>
    </row>
    <row r="5" ht="15" customHeight="1" s="35">
      <c r="A5" s="66" t="inlineStr">
        <is>
          <t>Trang chủ:</t>
        </is>
      </c>
      <c r="B5" s="65" t="inlineStr">
        <is>
          <t>https://dhhp.edu.vn/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https://tuyensinh.dhhp.edu.vn/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các trang tuyển sinh ĐH Hải Phòng.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7140201</t>
        </is>
      </c>
      <c r="C11" s="34" t="inlineStr">
        <is>
          <t>Giáo dục Mầm non</t>
        </is>
      </c>
    </row>
    <row r="12">
      <c r="A12" s="34" t="n">
        <v>2</v>
      </c>
      <c r="B12" s="34" t="inlineStr">
        <is>
          <t>7140202</t>
        </is>
      </c>
      <c r="C12" s="34" t="inlineStr">
        <is>
          <t>Giáo dục Tiểu học</t>
        </is>
      </c>
    </row>
    <row r="13">
      <c r="A13" s="34" t="n">
        <v>3</v>
      </c>
      <c r="B13" s="34" t="inlineStr">
        <is>
          <t>7140206</t>
        </is>
      </c>
      <c r="C13" s="34" t="inlineStr">
        <is>
          <t>Giáo dục Thể chất</t>
        </is>
      </c>
    </row>
    <row r="14">
      <c r="A14" s="34" t="n">
        <v>4</v>
      </c>
      <c r="B14" s="34" t="inlineStr">
        <is>
          <t>7140209</t>
        </is>
      </c>
      <c r="C14" s="34" t="inlineStr">
        <is>
          <t>Sư phạm Toán học</t>
        </is>
      </c>
    </row>
    <row r="15">
      <c r="A15" s="34" t="n">
        <v>5</v>
      </c>
      <c r="B15" s="34" t="inlineStr">
        <is>
          <t>7140217</t>
        </is>
      </c>
      <c r="C15" s="34" t="inlineStr">
        <is>
          <t>Sư phạm Ngữ văn</t>
        </is>
      </c>
    </row>
    <row r="16">
      <c r="A16" s="34" t="n">
        <v>6</v>
      </c>
      <c r="B16" s="34" t="inlineStr">
        <is>
          <t>7140231</t>
        </is>
      </c>
      <c r="C16" s="34" t="inlineStr">
        <is>
          <t>Sư phạm Tiếng Anh</t>
        </is>
      </c>
    </row>
    <row r="17">
      <c r="A17" s="34" t="n">
        <v>7</v>
      </c>
      <c r="B17" s="34" t="inlineStr">
        <is>
          <t>7220201</t>
        </is>
      </c>
      <c r="C17" s="34" t="inlineStr">
        <is>
          <t>Ngôn ngữ Anh</t>
        </is>
      </c>
    </row>
    <row r="18">
      <c r="A18" s="34" t="n">
        <v>8</v>
      </c>
      <c r="B18" s="34" t="inlineStr">
        <is>
          <t>7220204</t>
        </is>
      </c>
      <c r="C18" s="34" t="inlineStr">
        <is>
          <t>Ngôn ngữ Trung Quốc</t>
        </is>
      </c>
    </row>
    <row r="19">
      <c r="A19" s="34" t="n">
        <v>9</v>
      </c>
      <c r="B19" s="34" t="inlineStr">
        <is>
          <t>7229030</t>
        </is>
      </c>
      <c r="C19" s="34" t="inlineStr">
        <is>
          <t>Văn học</t>
        </is>
      </c>
    </row>
    <row r="20">
      <c r="A20" s="34" t="n">
        <v>10</v>
      </c>
      <c r="B20" s="34" t="inlineStr">
        <is>
          <t>7310101</t>
        </is>
      </c>
      <c r="C20" s="34" t="inlineStr">
        <is>
          <t>Kinh tế ngoại thương</t>
        </is>
      </c>
    </row>
    <row r="21">
      <c r="A21" s="34" t="n">
        <v>11</v>
      </c>
      <c r="B21" s="34" t="inlineStr">
        <is>
          <t>7510605</t>
        </is>
      </c>
      <c r="C21" s="34" t="inlineStr">
        <is>
          <t>Logistics và quản lý chuỗi cung ứng</t>
        </is>
      </c>
    </row>
    <row r="22">
      <c r="A22" s="34" t="n">
        <v>12</v>
      </c>
      <c r="B22" s="34" t="inlineStr">
        <is>
          <t>7340122</t>
        </is>
      </c>
      <c r="C22" s="34" t="inlineStr">
        <is>
          <t>Thương mại điện tử</t>
        </is>
      </c>
    </row>
    <row r="23">
      <c r="A23" s="34" t="n">
        <v>13</v>
      </c>
      <c r="B23" s="34" t="inlineStr">
        <is>
          <t>7340101</t>
        </is>
      </c>
      <c r="C23" s="34" t="inlineStr">
        <is>
          <t>Quản trị kinh doanh</t>
        </is>
      </c>
    </row>
    <row r="24">
      <c r="A24" s="34" t="n">
        <v>14</v>
      </c>
      <c r="B24" s="34" t="inlineStr">
        <is>
          <t>7340301</t>
        </is>
      </c>
      <c r="C24" s="34" t="inlineStr">
        <is>
          <t>Kế toán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dhhp.edu.vn/" r:id="rId2"/>
    <hyperlink xmlns:r="http://schemas.openxmlformats.org/officeDocument/2006/relationships" ref="B6" display="https://tuyensinh.dhhp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1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Đại học Hàng hải Việt Nam (VMU)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Hải Phòng</t>
        </is>
      </c>
    </row>
    <row r="4" ht="15" customHeight="1" s="35">
      <c r="A4" s="66" t="inlineStr">
        <is>
          <t>Tỉnh/TP (cũ):</t>
        </is>
      </c>
      <c r="B4" s="67" t="inlineStr">
        <is>
          <t>Hải Phòng</t>
        </is>
      </c>
    </row>
    <row r="5" ht="15" customHeight="1" s="35">
      <c r="A5" s="66" t="inlineStr">
        <is>
          <t>Trang chủ:</t>
        </is>
      </c>
      <c r="B5" s="65" t="inlineStr">
        <is>
          <t>https://vimaru.edu.vn/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https://tuyensinh.vimaru.edu.vn/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2025-2026. Nguồn: các trang tuyển sinh VMU.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7520101</t>
        </is>
      </c>
      <c r="C11" s="34" t="inlineStr">
        <is>
          <t>Điều khiển tàu biển</t>
        </is>
      </c>
    </row>
    <row r="12">
      <c r="A12" s="34" t="n">
        <v>2</v>
      </c>
      <c r="B12" s="34" t="inlineStr">
        <is>
          <t>7520104</t>
        </is>
      </c>
      <c r="C12" s="34" t="inlineStr">
        <is>
          <t>Khai thác máy tàu biển</t>
        </is>
      </c>
    </row>
    <row r="13">
      <c r="A13" s="34" t="n">
        <v>3</v>
      </c>
      <c r="B13" s="34" t="inlineStr">
        <is>
          <t>7520201</t>
        </is>
      </c>
      <c r="C13" s="34" t="inlineStr">
        <is>
          <t>Điện tự động giao thông vận tải</t>
        </is>
      </c>
    </row>
    <row r="14">
      <c r="A14" s="34" t="n">
        <v>4</v>
      </c>
      <c r="B14" s="34" t="inlineStr">
        <is>
          <t>7520207</t>
        </is>
      </c>
      <c r="C14" s="34" t="inlineStr">
        <is>
          <t>Điện tử viễn thông</t>
        </is>
      </c>
    </row>
    <row r="15">
      <c r="A15" s="34" t="n">
        <v>5</v>
      </c>
      <c r="B15" s="34" t="inlineStr">
        <is>
          <t>7520103</t>
        </is>
      </c>
      <c r="C15" s="34" t="inlineStr">
        <is>
          <t>Máy tàu thủy</t>
        </is>
      </c>
    </row>
    <row r="16">
      <c r="A16" s="34" t="n">
        <v>6</v>
      </c>
      <c r="B16" s="34" t="inlineStr">
        <is>
          <t>7580202</t>
        </is>
      </c>
      <c r="C16" s="34" t="inlineStr">
        <is>
          <t>Xây dựng công trình thủy</t>
        </is>
      </c>
    </row>
    <row r="17">
      <c r="A17" s="34" t="n">
        <v>7</v>
      </c>
      <c r="B17" s="34" t="inlineStr">
        <is>
          <t>7580201</t>
        </is>
      </c>
      <c r="C17" s="34" t="inlineStr">
        <is>
          <t>Xây dựng dân dụng và công nghiệp</t>
        </is>
      </c>
    </row>
    <row r="18">
      <c r="A18" s="34" t="n">
        <v>8</v>
      </c>
      <c r="B18" s="34" t="inlineStr">
        <is>
          <t>7480201</t>
        </is>
      </c>
      <c r="C18" s="34" t="inlineStr">
        <is>
          <t>Công nghệ thông tin</t>
        </is>
      </c>
    </row>
    <row r="19">
      <c r="A19" s="34" t="n">
        <v>9</v>
      </c>
      <c r="B19" s="34" t="inlineStr">
        <is>
          <t>7340101</t>
        </is>
      </c>
      <c r="C19" s="34" t="inlineStr">
        <is>
          <t>Quản trị kinh doanh</t>
        </is>
      </c>
    </row>
    <row r="20">
      <c r="A20" s="34" t="n">
        <v>10</v>
      </c>
      <c r="B20" s="34" t="inlineStr">
        <is>
          <t>7510605</t>
        </is>
      </c>
      <c r="C20" s="34" t="inlineStr">
        <is>
          <t>Logistics và chuỗi cung ứng</t>
        </is>
      </c>
    </row>
    <row r="21">
      <c r="A21" s="34" t="n">
        <v>11</v>
      </c>
      <c r="B21" s="34" t="inlineStr">
        <is>
          <t>7310101</t>
        </is>
      </c>
      <c r="C21" s="34" t="inlineStr">
        <is>
          <t>Kinh tế vận tải biển</t>
        </is>
      </c>
    </row>
    <row r="22">
      <c r="A22" s="34" t="n">
        <v>12</v>
      </c>
      <c r="B22" s="34" t="inlineStr">
        <is>
          <t>7340201</t>
        </is>
      </c>
      <c r="C22" s="34" t="inlineStr">
        <is>
          <t>Quản trị tài chính kế toán</t>
        </is>
      </c>
    </row>
    <row r="23">
      <c r="A23" s="34" t="n">
        <v>13</v>
      </c>
      <c r="B23" s="34" t="inlineStr">
        <is>
          <t>7380101</t>
        </is>
      </c>
      <c r="C23" s="34" t="inlineStr">
        <is>
          <t>Luật hàng hải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vimaru.edu.vn/" r:id="rId2"/>
    <hyperlink xmlns:r="http://schemas.openxmlformats.org/officeDocument/2006/relationships" ref="B6" display="https://tuyensinh.vimar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2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Kỹ thuật Y tế Hải Dương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Hải Phòng</t>
        </is>
      </c>
    </row>
    <row r="4" ht="15" customHeight="1" s="35">
      <c r="A4" s="66" t="inlineStr">
        <is>
          <t>Tỉnh/TP (cũ):</t>
        </is>
      </c>
      <c r="B4" s="67" t="inlineStr">
        <is>
          <t>Hải Dương</t>
        </is>
      </c>
    </row>
    <row r="5" ht="15" customHeight="1" s="35">
      <c r="A5" s="66" t="inlineStr">
        <is>
          <t>Trang chủ:</t>
        </is>
      </c>
      <c r="B5" s="65" t="inlineStr">
        <is>
          <t>https://hmt.edu.vn/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https://tuyensinh.hmt.edu.vn/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(tổng hợp).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t="n">
        <v>1</v>
      </c>
      <c r="B11" t="inlineStr">
        <is>
          <t>7720301</t>
        </is>
      </c>
      <c r="C11" t="inlineStr">
        <is>
          <t>Điều dưỡng</t>
        </is>
      </c>
    </row>
    <row r="12">
      <c r="A12" t="n">
        <v>2</v>
      </c>
      <c r="B12" t="inlineStr">
        <is>
          <t>7720601</t>
        </is>
      </c>
      <c r="C12" t="inlineStr">
        <is>
          <t>Kỹ thuật xét nghiệm y học</t>
        </is>
      </c>
    </row>
    <row r="13">
      <c r="A13" t="n">
        <v>3</v>
      </c>
      <c r="B13" t="inlineStr">
        <is>
          <t>7720602</t>
        </is>
      </c>
      <c r="C13" t="inlineStr">
        <is>
          <t>Kỹ thuật hình ảnh y học</t>
        </is>
      </c>
    </row>
    <row r="14"/>
    <row r="15"/>
    <row r="16"/>
    <row r="17"/>
    <row r="18"/>
    <row r="19"/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mt.edu.vn/" r:id="rId2"/>
    <hyperlink xmlns:r="http://schemas.openxmlformats.org/officeDocument/2006/relationships" ref="B6" display="https://tuyensinh.hmt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3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Sư phạm Kỹ thuật Hưng Yên (UTEHY)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Hưng Yên</t>
        </is>
      </c>
    </row>
    <row r="4" ht="15" customHeight="1" s="35">
      <c r="A4" s="66" t="inlineStr">
        <is>
          <t>Tỉnh/TP (cũ):</t>
        </is>
      </c>
      <c r="B4" s="67" t="inlineStr">
        <is>
          <t>Hưng Yên</t>
        </is>
      </c>
    </row>
    <row r="5" ht="15" customHeight="1" s="35">
      <c r="A5" s="66" t="inlineStr">
        <is>
          <t>Trang chủ:</t>
        </is>
      </c>
      <c r="B5" s="65" t="inlineStr">
        <is>
          <t>https://utehy.edu.vn/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https://tuyensinh.utehy.edu.vn/</t>
        </is>
      </c>
    </row>
    <row r="7" ht="39.75" customHeight="1" s="35">
      <c r="A7" s="66" t="inlineStr">
        <is>
          <t>Nguồn/ghi chú:</t>
        </is>
      </c>
      <c r="B7" s="37" t="inlineStr">
        <is>
          <t>Danh sách ngành đào tạo đại học chính quy 2026 (29 ngành, khớp số ngành trường công bố). Nguồn: diemthi.tuyensinh247.com/de-an-tuyen-sinh/dai-hoc-su-pham-ky-thuat-hung-yen-SKH.html</t>
        </is>
      </c>
    </row>
    <row r="8" ht="39.75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 ht="15" customHeight="1" s="35">
      <c r="A11" s="48" t="n">
        <v>1</v>
      </c>
      <c r="B11" s="47" t="inlineStr">
        <is>
          <t>7140103</t>
        </is>
      </c>
      <c r="C11" s="47" t="inlineStr">
        <is>
          <t>Công nghệ giáo dục</t>
        </is>
      </c>
    </row>
    <row r="12" ht="15" customHeight="1" s="35">
      <c r="A12" s="48" t="n">
        <v>2</v>
      </c>
      <c r="B12" s="47" t="inlineStr">
        <is>
          <t>7140231</t>
        </is>
      </c>
      <c r="C12" s="47" t="inlineStr">
        <is>
          <t>Sư phạm Tiếng Anh</t>
        </is>
      </c>
    </row>
    <row r="13" ht="15" customHeight="1" s="35">
      <c r="A13" s="48" t="n">
        <v>3</v>
      </c>
      <c r="B13" s="47" t="inlineStr">
        <is>
          <t>7140246</t>
        </is>
      </c>
      <c r="C13" s="47" t="inlineStr">
        <is>
          <t>Sư phạm công nghệ</t>
        </is>
      </c>
    </row>
    <row r="14" ht="15" customHeight="1" s="35">
      <c r="A14" s="48" t="n">
        <v>4</v>
      </c>
      <c r="B14" s="47" t="inlineStr">
        <is>
          <t>7220201</t>
        </is>
      </c>
      <c r="C14" s="47" t="inlineStr">
        <is>
          <t>Ngôn ngữ Anh</t>
        </is>
      </c>
    </row>
    <row r="15" ht="15" customHeight="1" s="35">
      <c r="A15" s="48" t="n">
        <v>5</v>
      </c>
      <c r="B15" s="47" t="inlineStr">
        <is>
          <t>7220204</t>
        </is>
      </c>
      <c r="C15" s="47" t="inlineStr">
        <is>
          <t>Ngôn ngữ Trung Quốc</t>
        </is>
      </c>
    </row>
    <row r="16" ht="15" customHeight="1" s="35">
      <c r="A16" s="48" t="n">
        <v>6</v>
      </c>
      <c r="B16" s="47" t="inlineStr">
        <is>
          <t>7310101</t>
        </is>
      </c>
      <c r="C16" s="47" t="inlineStr">
        <is>
          <t>Kinh tế</t>
        </is>
      </c>
    </row>
    <row r="17" ht="15" customHeight="1" s="35">
      <c r="A17" s="48" t="n">
        <v>7</v>
      </c>
      <c r="B17" s="47" t="inlineStr">
        <is>
          <t>7340101</t>
        </is>
      </c>
      <c r="C17" s="47" t="inlineStr">
        <is>
          <t>Quản trị kinh doanh</t>
        </is>
      </c>
    </row>
    <row r="18" ht="15" customHeight="1" s="35">
      <c r="A18" s="48" t="n">
        <v>8</v>
      </c>
      <c r="B18" s="47" t="inlineStr">
        <is>
          <t>7340123</t>
        </is>
      </c>
      <c r="C18" s="47" t="inlineStr">
        <is>
          <t>Kinh doanh thời trang và dệt may</t>
        </is>
      </c>
    </row>
    <row r="19" ht="15" customHeight="1" s="35">
      <c r="A19" s="48" t="n">
        <v>9</v>
      </c>
      <c r="B19" s="47" t="inlineStr">
        <is>
          <t>7340301</t>
        </is>
      </c>
      <c r="C19" s="47" t="inlineStr">
        <is>
          <t>Kế toán</t>
        </is>
      </c>
    </row>
    <row r="20" ht="15" customHeight="1" s="35">
      <c r="A20" s="48" t="n">
        <v>10</v>
      </c>
      <c r="B20" s="47" t="inlineStr">
        <is>
          <t>7340404</t>
        </is>
      </c>
      <c r="C20" s="47" t="inlineStr">
        <is>
          <t>Quản trị nhân lực</t>
        </is>
      </c>
    </row>
    <row r="21" ht="15" customHeight="1" s="35">
      <c r="A21" s="48" t="n">
        <v>11</v>
      </c>
      <c r="B21" s="47" t="inlineStr">
        <is>
          <t>7480101</t>
        </is>
      </c>
      <c r="C21" s="47" t="inlineStr">
        <is>
          <t>Khoa học máy tính</t>
        </is>
      </c>
    </row>
    <row r="22" ht="15" customHeight="1" s="35">
      <c r="A22" s="48" t="n">
        <v>12</v>
      </c>
      <c r="B22" s="47" t="inlineStr">
        <is>
          <t>7480103</t>
        </is>
      </c>
      <c r="C22" s="47" t="inlineStr">
        <is>
          <t>Kỹ thuật phần mềm</t>
        </is>
      </c>
    </row>
    <row r="23" ht="15" customHeight="1" s="35">
      <c r="A23" s="48" t="n">
        <v>13</v>
      </c>
      <c r="B23" s="47" t="inlineStr">
        <is>
          <t>7480107</t>
        </is>
      </c>
      <c r="C23" s="47" t="inlineStr">
        <is>
          <t>Trí tuệ nhân tạo</t>
        </is>
      </c>
    </row>
    <row r="24" ht="15" customHeight="1" s="35">
      <c r="A24" s="48" t="n">
        <v>14</v>
      </c>
      <c r="B24" s="47" t="inlineStr">
        <is>
          <t>7480201</t>
        </is>
      </c>
      <c r="C24" s="47" t="inlineStr">
        <is>
          <t>Công nghệ thông tin</t>
        </is>
      </c>
    </row>
    <row r="25" ht="15" customHeight="1" s="35">
      <c r="A25" s="48" t="n">
        <v>15</v>
      </c>
      <c r="B25" s="47" t="inlineStr">
        <is>
          <t>7510201</t>
        </is>
      </c>
      <c r="C25" s="47" t="inlineStr">
        <is>
          <t>Công nghệ kỹ thuật cơ khí</t>
        </is>
      </c>
    </row>
    <row r="26" ht="15" customHeight="1" s="35">
      <c r="A26" s="48" t="n">
        <v>16</v>
      </c>
      <c r="B26" s="47" t="inlineStr">
        <is>
          <t>7510202</t>
        </is>
      </c>
      <c r="C26" s="47" t="inlineStr">
        <is>
          <t>Công nghệ chế tạo máy</t>
        </is>
      </c>
    </row>
    <row r="27" ht="15" customHeight="1" s="35">
      <c r="A27" s="48" t="n">
        <v>17</v>
      </c>
      <c r="B27" s="47" t="inlineStr">
        <is>
          <t>7510203</t>
        </is>
      </c>
      <c r="C27" s="47" t="inlineStr">
        <is>
          <t>Công nghệ kỹ thuật cơ điện tử</t>
        </is>
      </c>
    </row>
    <row r="28" ht="15" customHeight="1" s="35">
      <c r="A28" s="48" t="n">
        <v>18</v>
      </c>
      <c r="B28" s="47" t="inlineStr">
        <is>
          <t>7510205</t>
        </is>
      </c>
      <c r="C28" s="47" t="inlineStr">
        <is>
          <t>Công nghệ kỹ thuật ô tô</t>
        </is>
      </c>
    </row>
    <row r="29" ht="15" customHeight="1" s="35">
      <c r="A29" s="48" t="n">
        <v>19</v>
      </c>
      <c r="B29" s="47" t="inlineStr">
        <is>
          <t>7510210</t>
        </is>
      </c>
      <c r="C29" s="47" t="inlineStr">
        <is>
          <t>Điện lạnh và điều hòa không khí</t>
        </is>
      </c>
    </row>
    <row r="30" ht="15" customHeight="1" s="35">
      <c r="A30" s="48" t="n">
        <v>20</v>
      </c>
      <c r="B30" s="47" t="inlineStr">
        <is>
          <t>7510301</t>
        </is>
      </c>
      <c r="C30" s="47" t="inlineStr">
        <is>
          <t>Công nghệ kỹ thuật điện, điện tử</t>
        </is>
      </c>
    </row>
    <row r="31" ht="15" customHeight="1" s="35">
      <c r="A31" s="48" t="n">
        <v>21</v>
      </c>
      <c r="B31" s="47" t="inlineStr">
        <is>
          <t>7510302</t>
        </is>
      </c>
      <c r="C31" s="47" t="inlineStr">
        <is>
          <t>Công nghệ kỹ thuật điện tử - viễn thông</t>
        </is>
      </c>
    </row>
    <row r="32" ht="15" customHeight="1" s="35">
      <c r="A32" s="48" t="n">
        <v>22</v>
      </c>
      <c r="B32" s="47" t="inlineStr">
        <is>
          <t>7510303</t>
        </is>
      </c>
      <c r="C32" s="47" t="inlineStr">
        <is>
          <t>Công nghệ kỹ thuật điều khiển và tự động hoá</t>
        </is>
      </c>
    </row>
    <row r="33" ht="15" customHeight="1" s="35">
      <c r="A33" s="48" t="n">
        <v>23</v>
      </c>
      <c r="B33" s="47" t="inlineStr">
        <is>
          <t>7510401</t>
        </is>
      </c>
      <c r="C33" s="47" t="inlineStr">
        <is>
          <t>Công nghệ kỹ thuật hóa học</t>
        </is>
      </c>
    </row>
    <row r="34" ht="15" customHeight="1" s="35">
      <c r="A34" s="48" t="n">
        <v>24</v>
      </c>
      <c r="B34" s="47" t="inlineStr">
        <is>
          <t>7510402</t>
        </is>
      </c>
      <c r="C34" s="47" t="inlineStr">
        <is>
          <t>Công nghệ vật liệu</t>
        </is>
      </c>
    </row>
    <row r="35" ht="15" customHeight="1" s="35">
      <c r="A35" s="48" t="n">
        <v>25</v>
      </c>
      <c r="B35" s="47" t="inlineStr">
        <is>
          <t>7520103</t>
        </is>
      </c>
      <c r="C35" s="47" t="inlineStr">
        <is>
          <t>Kỹ thuật cơ khí</t>
        </is>
      </c>
    </row>
    <row r="36" ht="15" customHeight="1" s="35">
      <c r="A36" s="48" t="n">
        <v>26</v>
      </c>
      <c r="B36" s="47" t="inlineStr">
        <is>
          <t>7520107</t>
        </is>
      </c>
      <c r="C36" s="47" t="inlineStr">
        <is>
          <t>Kỹ thuật Robot</t>
        </is>
      </c>
    </row>
    <row r="37" ht="15" customHeight="1" s="35">
      <c r="A37" s="48" t="n">
        <v>27</v>
      </c>
      <c r="B37" s="47" t="inlineStr">
        <is>
          <t>7520118</t>
        </is>
      </c>
      <c r="C37" s="47" t="inlineStr">
        <is>
          <t>Kỹ thuật hệ thống công nghiệp</t>
        </is>
      </c>
    </row>
    <row r="38" ht="15" customHeight="1" s="35">
      <c r="A38" s="48" t="n">
        <v>28</v>
      </c>
      <c r="B38" s="47" t="inlineStr">
        <is>
          <t>7540103</t>
        </is>
      </c>
      <c r="C38" s="47" t="inlineStr">
        <is>
          <t>Công nghệ hóa thực phẩm</t>
        </is>
      </c>
    </row>
    <row r="39" ht="15" customHeight="1" s="35">
      <c r="A39" s="48" t="n">
        <v>29</v>
      </c>
      <c r="B39" s="47" t="inlineStr">
        <is>
          <t>7540209</t>
        </is>
      </c>
      <c r="C39" s="47" t="inlineStr">
        <is>
          <t>Công nghệ may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utehy.edu.vn/" r:id="rId2"/>
    <hyperlink xmlns:r="http://schemas.openxmlformats.org/officeDocument/2006/relationships" ref="B6" display="https://tuyensinh.utehy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4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Chính trị (Trường Sĩ quan Chính trị)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Bắc Ninh</t>
        </is>
      </c>
    </row>
    <row r="4" ht="15" customHeight="1" s="35">
      <c r="A4" s="66" t="inlineStr">
        <is>
          <t>Tỉnh/TP (cũ):</t>
        </is>
      </c>
      <c r="B4" s="67" t="inlineStr">
        <is>
          <t>Bắc Ninh</t>
        </is>
      </c>
    </row>
    <row r="5" ht="15" customHeight="1" s="35">
      <c r="A5" s="66" t="inlineStr">
        <is>
          <t>Trang chủ:</t>
        </is>
      </c>
      <c r="B5" s="65" t="inlineStr">
        <is>
          <t>https://hocvienchinhtri.edu.vn/</t>
        </is>
      </c>
    </row>
    <row r="6" ht="15" customHeight="1" s="35">
      <c r="A6" s="66" t="inlineStr">
        <is>
          <t>Trang tuyển sinh:</t>
        </is>
      </c>
      <c r="B6" s="67" t="inlineStr">
        <is>
          <t>Trang tuyển sinh quân sự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(hệ quân sự). Nguồn: tổng hợp.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7860101</t>
        </is>
      </c>
      <c r="C11" s="34" t="inlineStr">
        <is>
          <t>Chỉ huy - Tham mưu / Sĩ quan chính trị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ocvienchinhtri.edu.vn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5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Sĩ quan Tăng thiết giáp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Bắc</t>
        </is>
      </c>
    </row>
    <row r="3" ht="15" customHeight="1" s="35">
      <c r="A3" s="66" t="inlineStr">
        <is>
          <t>Tỉnh/TP (mới):</t>
        </is>
      </c>
      <c r="B3" s="67" t="inlineStr">
        <is>
          <t>Phú Thọ</t>
        </is>
      </c>
    </row>
    <row r="4" ht="15" customHeight="1" s="35">
      <c r="A4" s="66" t="inlineStr">
        <is>
          <t>Tỉnh/TP (cũ):</t>
        </is>
      </c>
      <c r="B4" s="67" t="inlineStr">
        <is>
          <t>Vĩnh Phúc</t>
        </is>
      </c>
    </row>
    <row r="5" ht="15" customHeight="1" s="35">
      <c r="A5" s="66" t="inlineStr">
        <is>
          <t>Trang chủ:</t>
        </is>
      </c>
      <c r="B5" s="65" t="inlineStr">
        <is>
          <t>https://truongttg.edu.vn/</t>
        </is>
      </c>
    </row>
    <row r="6" ht="15" customHeight="1" s="35">
      <c r="A6" s="66" t="inlineStr">
        <is>
          <t>Trang tuyển sinh:</t>
        </is>
      </c>
      <c r="B6" s="67" t="inlineStr">
        <is>
          <t>Trang tuyển sinh quân sự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(hệ quân sự). Nguồn: tổng hợp.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7860102</t>
        </is>
      </c>
      <c r="C11" s="34" t="inlineStr">
        <is>
          <t>Chỉ huy - Tham mưu Tăng thiết giáp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truongttg.edu.vn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6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Hồng Đức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Thanh Hóa</t>
        </is>
      </c>
    </row>
    <row r="4" ht="15" customHeight="1" s="35">
      <c r="A4" s="66" t="inlineStr">
        <is>
          <t>Tỉnh/TP (cũ):</t>
        </is>
      </c>
      <c r="B4" s="67" t="inlineStr">
        <is>
          <t>Thanh Hóa</t>
        </is>
      </c>
    </row>
    <row r="5" ht="15" customHeight="1" s="35">
      <c r="A5" s="66" t="inlineStr">
        <is>
          <t>Trang chủ:</t>
        </is>
      </c>
      <c r="B5" s="65" t="inlineStr">
        <is>
          <t>https://hdu.edu.vn/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https://tuyensinh.hdu.edu.vn/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thông tin tuyển sinh ĐH Hồng Đức.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7140209</t>
        </is>
      </c>
      <c r="C11" s="34" t="inlineStr">
        <is>
          <t>Sư phạm Toán học</t>
        </is>
      </c>
    </row>
    <row r="12">
      <c r="A12" s="34" t="n">
        <v>2</v>
      </c>
      <c r="B12" s="34" t="inlineStr">
        <is>
          <t>7140211</t>
        </is>
      </c>
      <c r="C12" s="34" t="inlineStr">
        <is>
          <t>Sư phạm Vật lý</t>
        </is>
      </c>
    </row>
    <row r="13">
      <c r="A13" s="34" t="n">
        <v>3</v>
      </c>
      <c r="B13" s="34" t="inlineStr">
        <is>
          <t>7140212</t>
        </is>
      </c>
      <c r="C13" s="34" t="inlineStr">
        <is>
          <t>Sư phạm Hóa học</t>
        </is>
      </c>
    </row>
    <row r="14">
      <c r="A14" s="34" t="n">
        <v>4</v>
      </c>
      <c r="B14" s="34" t="inlineStr">
        <is>
          <t>7140213</t>
        </is>
      </c>
      <c r="C14" s="34" t="inlineStr">
        <is>
          <t>Sư phạm Sinh học</t>
        </is>
      </c>
    </row>
    <row r="15">
      <c r="A15" s="34" t="n">
        <v>5</v>
      </c>
      <c r="B15" s="34" t="inlineStr">
        <is>
          <t>7140247</t>
        </is>
      </c>
      <c r="C15" s="34" t="inlineStr">
        <is>
          <t>Sư phạm Khoa học tự nhiên</t>
        </is>
      </c>
    </row>
    <row r="16">
      <c r="A16" s="34" t="n">
        <v>6</v>
      </c>
      <c r="B16" s="34" t="inlineStr">
        <is>
          <t>7140210</t>
        </is>
      </c>
      <c r="C16" s="34" t="inlineStr">
        <is>
          <t>Sư phạm Tin học</t>
        </is>
      </c>
    </row>
    <row r="17">
      <c r="A17" s="34" t="n">
        <v>7</v>
      </c>
      <c r="B17" s="34" t="inlineStr">
        <is>
          <t>7140217</t>
        </is>
      </c>
      <c r="C17" s="34" t="inlineStr">
        <is>
          <t>Sư phạm Ngữ văn</t>
        </is>
      </c>
    </row>
    <row r="18">
      <c r="A18" s="34" t="n">
        <v>8</v>
      </c>
      <c r="B18" s="34" t="inlineStr">
        <is>
          <t>7140218</t>
        </is>
      </c>
      <c r="C18" s="34" t="inlineStr">
        <is>
          <t>Sư phạm Lịch sử</t>
        </is>
      </c>
    </row>
    <row r="19">
      <c r="A19" s="34" t="n">
        <v>9</v>
      </c>
      <c r="B19" s="34" t="inlineStr">
        <is>
          <t>7460101</t>
        </is>
      </c>
      <c r="C19" s="34" t="inlineStr">
        <is>
          <t>Toán học</t>
        </is>
      </c>
    </row>
    <row r="20">
      <c r="A20" s="34" t="n">
        <v>10</v>
      </c>
      <c r="B20" s="34" t="inlineStr">
        <is>
          <t>7480201</t>
        </is>
      </c>
      <c r="C20" s="34" t="inlineStr">
        <is>
          <t>Công nghệ thông tin</t>
        </is>
      </c>
    </row>
    <row r="21">
      <c r="A21" s="34" t="n">
        <v>11</v>
      </c>
      <c r="B21" s="34" t="inlineStr">
        <is>
          <t>7520201</t>
        </is>
      </c>
      <c r="C21" s="34" t="inlineStr">
        <is>
          <t>Kỹ thuật điện</t>
        </is>
      </c>
    </row>
    <row r="22">
      <c r="A22" s="34" t="n">
        <v>12</v>
      </c>
      <c r="B22" s="34" t="inlineStr">
        <is>
          <t>7580201</t>
        </is>
      </c>
      <c r="C22" s="34" t="inlineStr">
        <is>
          <t>Kỹ thuật xây dựng</t>
        </is>
      </c>
    </row>
    <row r="23">
      <c r="A23" s="34" t="n">
        <v>13</v>
      </c>
      <c r="B23" s="34" t="inlineStr">
        <is>
          <t>7440122</t>
        </is>
      </c>
      <c r="C23" s="34" t="inlineStr">
        <is>
          <t>Khoa học vật liệu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du.edu.vn/" r:id="rId2"/>
    <hyperlink xmlns:r="http://schemas.openxmlformats.org/officeDocument/2006/relationships" ref="B6" display="https://tuyensinh.hd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7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Vinh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Nghệ An</t>
        </is>
      </c>
    </row>
    <row r="4" ht="15" customHeight="1" s="35">
      <c r="A4" s="66" t="inlineStr">
        <is>
          <t>Tỉnh/TP (cũ):</t>
        </is>
      </c>
      <c r="B4" s="67" t="inlineStr">
        <is>
          <t>Nghệ An</t>
        </is>
      </c>
    </row>
    <row r="5" ht="15" customHeight="1" s="35">
      <c r="A5" s="66" t="inlineStr">
        <is>
          <t>Trang chủ:</t>
        </is>
      </c>
      <c r="B5" s="65" t="inlineStr">
        <is>
          <t>https://vinhuni.edu.vn/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https://tuyensinh.vinhuni.edu.vn/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đề án tuyển sinh ĐH Vinh.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7310101</t>
        </is>
      </c>
      <c r="C11" s="34" t="inlineStr">
        <is>
          <t>Kinh tế</t>
        </is>
      </c>
    </row>
    <row r="12">
      <c r="A12" s="34" t="n">
        <v>2</v>
      </c>
      <c r="B12" s="34" t="inlineStr">
        <is>
          <t>7310104</t>
        </is>
      </c>
      <c r="C12" s="34" t="inlineStr">
        <is>
          <t>Kinh tế đầu tư</t>
        </is>
      </c>
    </row>
    <row r="13">
      <c r="A13" s="34" t="n">
        <v>3</v>
      </c>
      <c r="B13" s="34" t="inlineStr">
        <is>
          <t>7310109</t>
        </is>
      </c>
      <c r="C13" s="34" t="inlineStr">
        <is>
          <t>Kinh tế số</t>
        </is>
      </c>
    </row>
    <row r="14">
      <c r="A14" s="34" t="n">
        <v>4</v>
      </c>
      <c r="B14" s="34" t="inlineStr">
        <is>
          <t>7310110</t>
        </is>
      </c>
      <c r="C14" s="34" t="inlineStr">
        <is>
          <t>Quản lí kinh tế</t>
        </is>
      </c>
    </row>
    <row r="15">
      <c r="A15" s="34" t="n">
        <v>5</v>
      </c>
      <c r="B15" s="34" t="inlineStr">
        <is>
          <t>7340101</t>
        </is>
      </c>
      <c r="C15" s="34" t="inlineStr">
        <is>
          <t>Quản trị kinh doanh</t>
        </is>
      </c>
    </row>
    <row r="16">
      <c r="A16" s="34" t="n">
        <v>6</v>
      </c>
      <c r="B16" s="34" t="inlineStr">
        <is>
          <t>7340115</t>
        </is>
      </c>
      <c r="C16" s="34" t="inlineStr">
        <is>
          <t>Marketing</t>
        </is>
      </c>
    </row>
    <row r="17">
      <c r="A17" s="34" t="n">
        <v>7</v>
      </c>
      <c r="B17" s="34" t="inlineStr">
        <is>
          <t>7340122</t>
        </is>
      </c>
      <c r="C17" s="34" t="inlineStr">
        <is>
          <t>Thương mại điện tử</t>
        </is>
      </c>
    </row>
    <row r="18">
      <c r="A18" s="34" t="n">
        <v>8</v>
      </c>
      <c r="B18" s="34" t="inlineStr">
        <is>
          <t>7340201</t>
        </is>
      </c>
      <c r="C18" s="34" t="inlineStr">
        <is>
          <t>Tài chính - Ngân hàng</t>
        </is>
      </c>
    </row>
    <row r="19">
      <c r="A19" s="34" t="n">
        <v>9</v>
      </c>
      <c r="B19" s="34" t="inlineStr">
        <is>
          <t>7340205</t>
        </is>
      </c>
      <c r="C19" s="34" t="inlineStr">
        <is>
          <t>Công nghệ tài chính</t>
        </is>
      </c>
    </row>
    <row r="20">
      <c r="A20" s="34" t="n">
        <v>10</v>
      </c>
      <c r="B20" s="34" t="inlineStr">
        <is>
          <t>7480101</t>
        </is>
      </c>
      <c r="C20" s="34" t="inlineStr">
        <is>
          <t>Khoa học máy tính</t>
        </is>
      </c>
    </row>
    <row r="21">
      <c r="A21" s="34" t="n">
        <v>11</v>
      </c>
      <c r="B21" s="34" t="inlineStr">
        <is>
          <t>7480201</t>
        </is>
      </c>
      <c r="C21" s="34" t="inlineStr">
        <is>
          <t>Công nghệ thông tin</t>
        </is>
      </c>
    </row>
    <row r="22">
      <c r="A22" s="34" t="n">
        <v>12</v>
      </c>
      <c r="B22" s="34" t="inlineStr">
        <is>
          <t>7510205</t>
        </is>
      </c>
      <c r="C22" s="34" t="inlineStr">
        <is>
          <t>Công nghệ kỹ thuật ô tô</t>
        </is>
      </c>
    </row>
    <row r="23">
      <c r="A23" s="34" t="n">
        <v>13</v>
      </c>
      <c r="B23" s="34" t="inlineStr">
        <is>
          <t>7510301</t>
        </is>
      </c>
      <c r="C23" s="34" t="inlineStr">
        <is>
          <t>Công nghệ kỹ thuật điện, điện tử</t>
        </is>
      </c>
    </row>
    <row r="24">
      <c r="A24" s="34" t="n">
        <v>14</v>
      </c>
      <c r="B24" s="34" t="inlineStr">
        <is>
          <t>7510302</t>
        </is>
      </c>
      <c r="C24" s="34" t="inlineStr">
        <is>
          <t>Công nghệ kỹ thuật điện tử - viễn thông</t>
        </is>
      </c>
    </row>
    <row r="25">
      <c r="A25" s="34" t="n">
        <v>15</v>
      </c>
      <c r="B25" s="34" t="inlineStr">
        <is>
          <t>7510303</t>
        </is>
      </c>
      <c r="C25" s="34" t="inlineStr">
        <is>
          <t>Công nghệ kỹ thuật điều khiển và tự động hóa</t>
        </is>
      </c>
    </row>
    <row r="26">
      <c r="A26" s="34" t="n">
        <v>16</v>
      </c>
      <c r="B26" s="34" t="inlineStr">
        <is>
          <t>7140201</t>
        </is>
      </c>
      <c r="C26" s="34" t="inlineStr">
        <is>
          <t>Giáo dục Mầm non</t>
        </is>
      </c>
    </row>
    <row r="27">
      <c r="A27" s="34" t="n">
        <v>17</v>
      </c>
      <c r="B27" s="34" t="inlineStr">
        <is>
          <t>7140202</t>
        </is>
      </c>
      <c r="C27" s="34" t="inlineStr">
        <is>
          <t>Giáo dục Tiểu học</t>
        </is>
      </c>
    </row>
    <row r="28">
      <c r="A28" s="34" t="n">
        <v>18</v>
      </c>
      <c r="B28" s="34" t="inlineStr">
        <is>
          <t>7140209</t>
        </is>
      </c>
      <c r="C28" s="34" t="inlineStr">
        <is>
          <t>Sư phạm Toán học</t>
        </is>
      </c>
    </row>
    <row r="29">
      <c r="A29" s="34" t="n">
        <v>19</v>
      </c>
      <c r="B29" s="34" t="inlineStr">
        <is>
          <t>7140217</t>
        </is>
      </c>
      <c r="C29" s="34" t="inlineStr">
        <is>
          <t>Sư phạm Ngữ văn</t>
        </is>
      </c>
    </row>
    <row r="30">
      <c r="A30" s="34" t="n">
        <v>20</v>
      </c>
      <c r="B30" s="34" t="inlineStr">
        <is>
          <t>7140231</t>
        </is>
      </c>
      <c r="C30" s="34" t="inlineStr">
        <is>
          <t>Sư phạm Tiếng Anh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vinhuni.edu.vn/" r:id="rId2"/>
    <hyperlink xmlns:r="http://schemas.openxmlformats.org/officeDocument/2006/relationships" ref="B6" display="https://tuyensinh.vinhuni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8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Khoa học - Đại học Huế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Huế</t>
        </is>
      </c>
    </row>
    <row r="4" ht="15" customHeight="1" s="35">
      <c r="A4" s="66" t="inlineStr">
        <is>
          <t>Tỉnh/TP (cũ):</t>
        </is>
      </c>
      <c r="B4" s="67" t="inlineStr">
        <is>
          <t>Thừa Thiên Huế</t>
        </is>
      </c>
    </row>
    <row r="5" ht="15" customHeight="1" s="35">
      <c r="A5" s="66" t="inlineStr">
        <is>
          <t>Trang chủ:</t>
        </is>
      </c>
      <c r="B5" s="65" t="inlineStr">
        <is>
          <t>https://husc.edu.vn/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https://tuyensinh.husc.edu.vn/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thông tin tuyển sinh HUSC.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7480103</t>
        </is>
      </c>
      <c r="C11" s="34" t="inlineStr">
        <is>
          <t>Kỹ thuật phần mềm</t>
        </is>
      </c>
    </row>
    <row r="12">
      <c r="A12" s="34" t="n">
        <v>2</v>
      </c>
      <c r="B12" s="34" t="inlineStr">
        <is>
          <t>7420201</t>
        </is>
      </c>
      <c r="C12" s="34" t="inlineStr">
        <is>
          <t>Công nghệ sinh học</t>
        </is>
      </c>
    </row>
    <row r="13">
      <c r="A13" s="34" t="n">
        <v>3</v>
      </c>
      <c r="B13" s="34" t="inlineStr">
        <is>
          <t>7440112</t>
        </is>
      </c>
      <c r="C13" s="34" t="inlineStr">
        <is>
          <t>Hóa học</t>
        </is>
      </c>
    </row>
    <row r="14">
      <c r="A14" s="34" t="n">
        <v>4</v>
      </c>
      <c r="B14" s="34" t="inlineStr">
        <is>
          <t>7440301</t>
        </is>
      </c>
      <c r="C14" s="34" t="inlineStr">
        <is>
          <t>Khoa học môi trường</t>
        </is>
      </c>
    </row>
    <row r="15">
      <c r="A15" s="34" t="n">
        <v>5</v>
      </c>
      <c r="B15" s="34" t="inlineStr">
        <is>
          <t>7480201</t>
        </is>
      </c>
      <c r="C15" s="34" t="inlineStr">
        <is>
          <t>Công nghệ thông tin</t>
        </is>
      </c>
    </row>
    <row r="16">
      <c r="A16" s="34" t="n">
        <v>6</v>
      </c>
      <c r="B16" s="34" t="inlineStr">
        <is>
          <t>7510302</t>
        </is>
      </c>
      <c r="C16" s="34" t="inlineStr">
        <is>
          <t>Công nghệ kỹ thuật điện tử- viễn thông</t>
        </is>
      </c>
    </row>
    <row r="17">
      <c r="A17" s="34" t="n">
        <v>7</v>
      </c>
      <c r="B17" s="34" t="inlineStr">
        <is>
          <t>7510401</t>
        </is>
      </c>
      <c r="C17" s="34" t="inlineStr">
        <is>
          <t>Công nghệ kỹ thuật hóa học</t>
        </is>
      </c>
    </row>
    <row r="18">
      <c r="A18" s="34" t="n">
        <v>8</v>
      </c>
      <c r="B18" s="34" t="inlineStr">
        <is>
          <t>7580101</t>
        </is>
      </c>
      <c r="C18" s="34" t="inlineStr">
        <is>
          <t>Kiến trúc</t>
        </is>
      </c>
    </row>
    <row r="19">
      <c r="A19" s="34" t="n">
        <v>9</v>
      </c>
      <c r="B19" s="34" t="inlineStr">
        <is>
          <t>7220104</t>
        </is>
      </c>
      <c r="C19" s="34" t="inlineStr">
        <is>
          <t>Hán Nôm</t>
        </is>
      </c>
    </row>
    <row r="20">
      <c r="A20" s="34" t="n">
        <v>10</v>
      </c>
      <c r="B20" s="34" t="inlineStr">
        <is>
          <t>7229001</t>
        </is>
      </c>
      <c r="C20" s="34" t="inlineStr">
        <is>
          <t>Triết học</t>
        </is>
      </c>
    </row>
    <row r="21">
      <c r="A21" s="34" t="n">
        <v>11</v>
      </c>
      <c r="B21" s="34" t="inlineStr">
        <is>
          <t>7229010</t>
        </is>
      </c>
      <c r="C21" s="34" t="inlineStr">
        <is>
          <t>Lịch sử</t>
        </is>
      </c>
    </row>
    <row r="22">
      <c r="A22" s="34" t="n">
        <v>12</v>
      </c>
      <c r="B22" s="34" t="inlineStr">
        <is>
          <t>7229030</t>
        </is>
      </c>
      <c r="C22" s="34" t="inlineStr">
        <is>
          <t>Văn học</t>
        </is>
      </c>
    </row>
    <row r="23">
      <c r="A23" s="34" t="n">
        <v>13</v>
      </c>
      <c r="B23" s="34" t="inlineStr">
        <is>
          <t>7310205</t>
        </is>
      </c>
      <c r="C23" s="34" t="inlineStr">
        <is>
          <t>Quản lý nhà nước</t>
        </is>
      </c>
    </row>
    <row r="24">
      <c r="A24" s="34" t="n">
        <v>14</v>
      </c>
      <c r="B24" s="34" t="inlineStr">
        <is>
          <t>7310301</t>
        </is>
      </c>
      <c r="C24" s="34" t="inlineStr">
        <is>
          <t>Xã hội học</t>
        </is>
      </c>
    </row>
    <row r="25">
      <c r="A25" s="34" t="n">
        <v>15</v>
      </c>
      <c r="B25" s="34" t="inlineStr">
        <is>
          <t>7320101</t>
        </is>
      </c>
      <c r="C25" s="34" t="inlineStr">
        <is>
          <t>Báo chí</t>
        </is>
      </c>
    </row>
    <row r="26">
      <c r="A26" s="34" t="n">
        <v>16</v>
      </c>
      <c r="B26" s="34" t="inlineStr">
        <is>
          <t>7320111</t>
        </is>
      </c>
      <c r="C26" s="34" t="inlineStr">
        <is>
          <t>Truyền thông số</t>
        </is>
      </c>
    </row>
    <row r="27">
      <c r="A27" s="34" t="n">
        <v>17</v>
      </c>
      <c r="B27" s="34" t="inlineStr">
        <is>
          <t>7760101</t>
        </is>
      </c>
      <c r="C27" s="34" t="inlineStr">
        <is>
          <t>Công tác xã hội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usc.edu.vn/" r:id="rId2"/>
    <hyperlink xmlns:r="http://schemas.openxmlformats.org/officeDocument/2006/relationships" ref="B6" display="https://tuyensinh.husc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9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Kinh tế - Đại học Huế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Huế</t>
        </is>
      </c>
    </row>
    <row r="4" ht="15" customHeight="1" s="35">
      <c r="A4" s="66" t="inlineStr">
        <is>
          <t>Tỉnh/TP (cũ):</t>
        </is>
      </c>
      <c r="B4" s="67" t="inlineStr">
        <is>
          <t>Thừa Thiên Huế</t>
        </is>
      </c>
    </row>
    <row r="5" ht="15" customHeight="1" s="35">
      <c r="A5" s="66" t="inlineStr">
        <is>
          <t>Trang chủ:</t>
        </is>
      </c>
      <c r="B5" s="65" t="inlineStr">
        <is>
          <t>https://hce.edu.vn/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https://tuyensinh.hce.edu.vn/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2025-2026. Nguồn: các trang tuyển sinh HCE.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7310101</t>
        </is>
      </c>
      <c r="C11" s="34" t="inlineStr">
        <is>
          <t>Kinh tế</t>
        </is>
      </c>
    </row>
    <row r="12">
      <c r="A12" s="34" t="n">
        <v>2</v>
      </c>
      <c r="B12" s="34" t="inlineStr">
        <is>
          <t>7310102</t>
        </is>
      </c>
      <c r="C12" s="34" t="inlineStr">
        <is>
          <t>Kinh tế chính trị</t>
        </is>
      </c>
    </row>
    <row r="13">
      <c r="A13" s="34" t="n">
        <v>3</v>
      </c>
      <c r="B13" s="34" t="inlineStr">
        <is>
          <t>7310106</t>
        </is>
      </c>
      <c r="C13" s="34" t="inlineStr">
        <is>
          <t>Kinh tế quốc tế</t>
        </is>
      </c>
    </row>
    <row r="14">
      <c r="A14" s="34" t="n">
        <v>4</v>
      </c>
      <c r="B14" s="34" t="inlineStr">
        <is>
          <t>7310107</t>
        </is>
      </c>
      <c r="C14" s="34" t="inlineStr">
        <is>
          <t>Thống kê kinh tế</t>
        </is>
      </c>
    </row>
    <row r="15">
      <c r="A15" s="34" t="n">
        <v>5</v>
      </c>
      <c r="B15" s="34" t="inlineStr">
        <is>
          <t>7310109</t>
        </is>
      </c>
      <c r="C15" s="34" t="inlineStr">
        <is>
          <t>Kinh tế số</t>
        </is>
      </c>
    </row>
    <row r="16">
      <c r="A16" s="34" t="n">
        <v>6</v>
      </c>
      <c r="B16" s="34" t="inlineStr">
        <is>
          <t>7340101</t>
        </is>
      </c>
      <c r="C16" s="34" t="inlineStr">
        <is>
          <t>Quản trị kinh doanh</t>
        </is>
      </c>
    </row>
    <row r="17">
      <c r="A17" s="34" t="n">
        <v>7</v>
      </c>
      <c r="B17" s="34" t="inlineStr">
        <is>
          <t>7340115</t>
        </is>
      </c>
      <c r="C17" s="34" t="inlineStr">
        <is>
          <t>Marketing</t>
        </is>
      </c>
    </row>
    <row r="18">
      <c r="A18" s="34" t="n">
        <v>8</v>
      </c>
      <c r="B18" s="34" t="inlineStr">
        <is>
          <t>7340121</t>
        </is>
      </c>
      <c r="C18" s="34" t="inlineStr">
        <is>
          <t>Kinh doanh thương mại</t>
        </is>
      </c>
    </row>
    <row r="19">
      <c r="A19" s="34" t="n">
        <v>9</v>
      </c>
      <c r="B19" s="34" t="inlineStr">
        <is>
          <t>7340122</t>
        </is>
      </c>
      <c r="C19" s="34" t="inlineStr">
        <is>
          <t>Thương mại điện tử</t>
        </is>
      </c>
    </row>
    <row r="20">
      <c r="A20" s="34" t="n">
        <v>10</v>
      </c>
      <c r="B20" s="34" t="inlineStr">
        <is>
          <t>7340201</t>
        </is>
      </c>
      <c r="C20" s="34" t="inlineStr">
        <is>
          <t>Tài chính - Ngân hàng</t>
        </is>
      </c>
    </row>
    <row r="21">
      <c r="A21" s="34" t="n">
        <v>11</v>
      </c>
      <c r="B21" s="34" t="inlineStr">
        <is>
          <t>7340301</t>
        </is>
      </c>
      <c r="C21" s="34" t="inlineStr">
        <is>
          <t>Kế toán</t>
        </is>
      </c>
    </row>
    <row r="22">
      <c r="A22" s="34" t="n">
        <v>12</v>
      </c>
      <c r="B22" s="34" t="inlineStr">
        <is>
          <t>7340302</t>
        </is>
      </c>
      <c r="C22" s="34" t="inlineStr">
        <is>
          <t>Kiểm toán</t>
        </is>
      </c>
    </row>
    <row r="23">
      <c r="A23" s="34" t="n">
        <v>13</v>
      </c>
      <c r="B23" s="34" t="inlineStr">
        <is>
          <t>7340404</t>
        </is>
      </c>
      <c r="C23" s="34" t="inlineStr">
        <is>
          <t>Quản trị nhân lực</t>
        </is>
      </c>
    </row>
    <row r="24">
      <c r="A24" s="34" t="n">
        <v>14</v>
      </c>
      <c r="B24" s="34" t="inlineStr">
        <is>
          <t>7340405</t>
        </is>
      </c>
      <c r="C24" s="34" t="inlineStr">
        <is>
          <t>Hệ thống thông tin quản lý</t>
        </is>
      </c>
    </row>
    <row r="25">
      <c r="A25" s="34" t="n">
        <v>15</v>
      </c>
      <c r="B25" s="34" t="inlineStr">
        <is>
          <t>7510605</t>
        </is>
      </c>
      <c r="C25" s="34" t="inlineStr">
        <is>
          <t>Logistics và Quản lý chuỗi cung ứng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ce.edu.vn/" r:id="rId2"/>
    <hyperlink xmlns:r="http://schemas.openxmlformats.org/officeDocument/2006/relationships" ref="B6" display="https://tuyensinh.hce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0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Luật - Đại học Huế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Huế</t>
        </is>
      </c>
    </row>
    <row r="4" ht="15" customHeight="1" s="35">
      <c r="A4" s="66" t="inlineStr">
        <is>
          <t>Tỉnh/TP (cũ):</t>
        </is>
      </c>
      <c r="B4" s="67" t="inlineStr">
        <is>
          <t>Thừa Thiên Huế</t>
        </is>
      </c>
    </row>
    <row r="5" ht="15" customHeight="1" s="35">
      <c r="A5" s="66" t="inlineStr">
        <is>
          <t>Trang chủ:</t>
        </is>
      </c>
      <c r="B5" s="65" t="inlineStr">
        <is>
          <t>https://hul.edu.vn/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https://tuyensinh.hul.edu.vn/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các trang tuyển sinh HUL.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7140231</t>
        </is>
      </c>
      <c r="C11" s="34" t="inlineStr">
        <is>
          <t>Sư phạm Tiếng Anh</t>
        </is>
      </c>
    </row>
    <row r="12">
      <c r="A12" s="34" t="n">
        <v>2</v>
      </c>
      <c r="B12" s="34" t="inlineStr">
        <is>
          <t>7140233</t>
        </is>
      </c>
      <c r="C12" s="34" t="inlineStr">
        <is>
          <t>Sư phạm Tiếng Pháp</t>
        </is>
      </c>
    </row>
    <row r="13">
      <c r="A13" s="34" t="n">
        <v>3</v>
      </c>
      <c r="B13" s="34" t="inlineStr">
        <is>
          <t>7140234</t>
        </is>
      </c>
      <c r="C13" s="34" t="inlineStr">
        <is>
          <t>Sư phạm Tiếng Trung Quốc</t>
        </is>
      </c>
    </row>
    <row r="14">
      <c r="A14" s="34" t="n">
        <v>4</v>
      </c>
      <c r="B14" s="34" t="inlineStr">
        <is>
          <t>7220201</t>
        </is>
      </c>
      <c r="C14" s="34" t="inlineStr">
        <is>
          <t>Ngôn ngữ Anh</t>
        </is>
      </c>
    </row>
    <row r="15">
      <c r="A15" s="34" t="n">
        <v>5</v>
      </c>
      <c r="B15" s="34" t="inlineStr">
        <is>
          <t>7220202</t>
        </is>
      </c>
      <c r="C15" s="34" t="inlineStr">
        <is>
          <t>Ngôn ngữ Nga</t>
        </is>
      </c>
    </row>
    <row r="16">
      <c r="A16" s="34" t="n">
        <v>6</v>
      </c>
      <c r="B16" s="34" t="inlineStr">
        <is>
          <t>7220203</t>
        </is>
      </c>
      <c r="C16" s="34" t="inlineStr">
        <is>
          <t>Ngôn ngữ Pháp</t>
        </is>
      </c>
    </row>
    <row r="17">
      <c r="A17" s="34" t="n">
        <v>7</v>
      </c>
      <c r="B17" s="34" t="inlineStr">
        <is>
          <t>7220204</t>
        </is>
      </c>
      <c r="C17" s="34" t="inlineStr">
        <is>
          <t>Ngôn ngữ Trung Quốc</t>
        </is>
      </c>
    </row>
    <row r="18">
      <c r="A18" s="34" t="n">
        <v>8</v>
      </c>
      <c r="B18" s="34" t="inlineStr">
        <is>
          <t>7220209</t>
        </is>
      </c>
      <c r="C18" s="34" t="inlineStr">
        <is>
          <t>Ngôn ngữ Nhật</t>
        </is>
      </c>
    </row>
    <row r="19">
      <c r="A19" s="34" t="n">
        <v>9</v>
      </c>
      <c r="B19" s="34" t="inlineStr">
        <is>
          <t>7220210</t>
        </is>
      </c>
      <c r="C19" s="34" t="inlineStr">
        <is>
          <t>Ngôn ngữ Hàn Quốc</t>
        </is>
      </c>
    </row>
    <row r="20">
      <c r="A20" s="34" t="n">
        <v>10</v>
      </c>
      <c r="B20" s="34" t="inlineStr">
        <is>
          <t>7310601</t>
        </is>
      </c>
      <c r="C20" s="34" t="inlineStr">
        <is>
          <t>Quốc tế học</t>
        </is>
      </c>
    </row>
    <row r="21">
      <c r="A21" s="34" t="n">
        <v>11</v>
      </c>
      <c r="B21" s="34" t="inlineStr">
        <is>
          <t>7310630</t>
        </is>
      </c>
      <c r="C21" s="34" t="inlineStr">
        <is>
          <t>Việt Nam học</t>
        </is>
      </c>
    </row>
    <row r="22">
      <c r="A22" s="34" t="n">
        <v>12</v>
      </c>
      <c r="B22" s="34" t="inlineStr">
        <is>
          <t>7310640</t>
        </is>
      </c>
      <c r="C22" s="34" t="inlineStr">
        <is>
          <t>Hoa Kỳ học</t>
        </is>
      </c>
    </row>
    <row r="23">
      <c r="A23" s="34" t="n">
        <v>13</v>
      </c>
      <c r="B23" s="34" t="inlineStr">
        <is>
          <t>7320107</t>
        </is>
      </c>
      <c r="C23" s="34" t="inlineStr">
        <is>
          <t>Truyền thông quốc tế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ul.edu.vn/" r:id="rId2"/>
    <hyperlink xmlns:r="http://schemas.openxmlformats.org/officeDocument/2006/relationships" ref="B6" display="https://tuyensinh.hul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1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Sư phạm - Đại học Huế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Huế</t>
        </is>
      </c>
    </row>
    <row r="4" ht="15" customHeight="1" s="35">
      <c r="A4" s="66" t="inlineStr">
        <is>
          <t>Tỉnh/TP (cũ):</t>
        </is>
      </c>
      <c r="B4" s="67" t="inlineStr">
        <is>
          <t>Thừa Thiên Huế</t>
        </is>
      </c>
    </row>
    <row r="5" ht="15" customHeight="1" s="35">
      <c r="A5" s="66" t="inlineStr">
        <is>
          <t>Trang chủ:</t>
        </is>
      </c>
      <c r="B5" s="65" t="inlineStr">
        <is>
          <t>https://dhsphue.edu.vn/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https://tuyensinh.dhsphue.edu.vn/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thông tin tuyển sinh ĐHSP Huế.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7140201</t>
        </is>
      </c>
      <c r="C11" s="34" t="inlineStr">
        <is>
          <t>Giáo dục mầm non</t>
        </is>
      </c>
    </row>
    <row r="12">
      <c r="A12" s="34" t="n">
        <v>2</v>
      </c>
      <c r="B12" s="34" t="inlineStr">
        <is>
          <t>7140202</t>
        </is>
      </c>
      <c r="C12" s="34" t="inlineStr">
        <is>
          <t>Giáo dục Tiểu học</t>
        </is>
      </c>
    </row>
    <row r="13">
      <c r="A13" s="34" t="n">
        <v>3</v>
      </c>
      <c r="B13" s="34" t="inlineStr">
        <is>
          <t>7140204</t>
        </is>
      </c>
      <c r="C13" s="34" t="inlineStr">
        <is>
          <t>Giáo dục Công dân</t>
        </is>
      </c>
    </row>
    <row r="14">
      <c r="A14" s="34" t="n">
        <v>4</v>
      </c>
      <c r="B14" s="34" t="inlineStr">
        <is>
          <t>7140205</t>
        </is>
      </c>
      <c r="C14" s="34" t="inlineStr">
        <is>
          <t>Giáo dục Chính trị</t>
        </is>
      </c>
    </row>
    <row r="15">
      <c r="A15" s="34" t="n">
        <v>5</v>
      </c>
      <c r="B15" s="34" t="inlineStr">
        <is>
          <t>7140208</t>
        </is>
      </c>
      <c r="C15" s="34" t="inlineStr">
        <is>
          <t>Giáo dục Quốc phòng - An ninh</t>
        </is>
      </c>
    </row>
    <row r="16">
      <c r="A16" s="34" t="n">
        <v>6</v>
      </c>
      <c r="B16" s="34" t="inlineStr">
        <is>
          <t>7140209</t>
        </is>
      </c>
      <c r="C16" s="34" t="inlineStr">
        <is>
          <t>Sư phạm Toán học</t>
        </is>
      </c>
    </row>
    <row r="17">
      <c r="A17" s="34" t="n">
        <v>7</v>
      </c>
      <c r="B17" s="34" t="inlineStr">
        <is>
          <t>7140210</t>
        </is>
      </c>
      <c r="C17" s="34" t="inlineStr">
        <is>
          <t>Sư phạm Tin học</t>
        </is>
      </c>
    </row>
    <row r="18">
      <c r="A18" s="34" t="n">
        <v>8</v>
      </c>
      <c r="B18" s="34" t="inlineStr">
        <is>
          <t>7140211</t>
        </is>
      </c>
      <c r="C18" s="34" t="inlineStr">
        <is>
          <t>Sư phạm Vật lý</t>
        </is>
      </c>
    </row>
    <row r="19">
      <c r="A19" s="34" t="n">
        <v>9</v>
      </c>
      <c r="B19" s="34" t="inlineStr">
        <is>
          <t>7140212</t>
        </is>
      </c>
      <c r="C19" s="34" t="inlineStr">
        <is>
          <t>Sư phạm Hóa học</t>
        </is>
      </c>
    </row>
    <row r="20">
      <c r="A20" s="34" t="n">
        <v>10</v>
      </c>
      <c r="B20" s="34" t="inlineStr">
        <is>
          <t>7140213</t>
        </is>
      </c>
      <c r="C20" s="34" t="inlineStr">
        <is>
          <t>Sư phạm Sinh học</t>
        </is>
      </c>
    </row>
    <row r="21">
      <c r="A21" s="34" t="n">
        <v>11</v>
      </c>
      <c r="B21" s="34" t="inlineStr">
        <is>
          <t>7140217</t>
        </is>
      </c>
      <c r="C21" s="34" t="inlineStr">
        <is>
          <t>Sư phạm Ngữ văn</t>
        </is>
      </c>
    </row>
    <row r="22">
      <c r="A22" s="34" t="n">
        <v>12</v>
      </c>
      <c r="B22" s="34" t="inlineStr">
        <is>
          <t>7140218</t>
        </is>
      </c>
      <c r="C22" s="34" t="inlineStr">
        <is>
          <t>Sư phạm Lịch sử</t>
        </is>
      </c>
    </row>
    <row r="23">
      <c r="A23" s="34" t="n">
        <v>13</v>
      </c>
      <c r="B23" s="34" t="inlineStr">
        <is>
          <t>7140219</t>
        </is>
      </c>
      <c r="C23" s="34" t="inlineStr">
        <is>
          <t>Sư phạm Địa lý</t>
        </is>
      </c>
    </row>
    <row r="24">
      <c r="A24" s="34" t="n">
        <v>14</v>
      </c>
      <c r="B24" s="34" t="inlineStr">
        <is>
          <t>7140246</t>
        </is>
      </c>
      <c r="C24" s="34" t="inlineStr">
        <is>
          <t>Sư phạm Công nghệ</t>
        </is>
      </c>
    </row>
    <row r="25">
      <c r="A25" s="34" t="n">
        <v>15</v>
      </c>
      <c r="B25" s="34" t="inlineStr">
        <is>
          <t>7140247</t>
        </is>
      </c>
      <c r="C25" s="34" t="inlineStr">
        <is>
          <t>Sư phạm Khoa học Tự nhiên</t>
        </is>
      </c>
    </row>
    <row r="26">
      <c r="A26" s="34" t="n">
        <v>16</v>
      </c>
      <c r="B26" s="34" t="inlineStr">
        <is>
          <t>7140249</t>
        </is>
      </c>
      <c r="C26" s="34" t="inlineStr">
        <is>
          <t>Sư phạm Lịch sử – Địa lý</t>
        </is>
      </c>
    </row>
    <row r="27">
      <c r="A27" s="34" t="n">
        <v>17</v>
      </c>
      <c r="B27" s="34" t="inlineStr">
        <is>
          <t>7310403</t>
        </is>
      </c>
      <c r="C27" s="34" t="inlineStr">
        <is>
          <t>Tâm lý học giáo dục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dhsphue.edu.vn/" r:id="rId2"/>
    <hyperlink xmlns:r="http://schemas.openxmlformats.org/officeDocument/2006/relationships" ref="B6" display="https://tuyensinh.dhsphue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2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Y - Dược - Đại học Huế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Huế</t>
        </is>
      </c>
    </row>
    <row r="4" ht="15" customHeight="1" s="35">
      <c r="A4" s="66" t="inlineStr">
        <is>
          <t>Tỉnh/TP (cũ):</t>
        </is>
      </c>
      <c r="B4" s="67" t="inlineStr">
        <is>
          <t>Thừa Thiên Huế</t>
        </is>
      </c>
    </row>
    <row r="5" ht="15" customHeight="1" s="35">
      <c r="A5" s="66" t="inlineStr">
        <is>
          <t>Trang chủ:</t>
        </is>
      </c>
      <c r="B5" s="65" t="inlineStr">
        <is>
          <t>https://huemed-univ.edu.vn/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https://tuyensinh.huemed-univ.edu.vn/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các trang tuyển sinh Y Dược Huế.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7720101</t>
        </is>
      </c>
      <c r="C11" s="34" t="inlineStr">
        <is>
          <t>Y khoa</t>
        </is>
      </c>
    </row>
    <row r="12">
      <c r="A12" s="34" t="n">
        <v>2</v>
      </c>
      <c r="B12" s="34" t="inlineStr">
        <is>
          <t>7720110</t>
        </is>
      </c>
      <c r="C12" s="34" t="inlineStr">
        <is>
          <t>Y học dự phòng</t>
        </is>
      </c>
    </row>
    <row r="13">
      <c r="A13" s="34" t="n">
        <v>3</v>
      </c>
      <c r="B13" s="34" t="inlineStr">
        <is>
          <t>7720115</t>
        </is>
      </c>
      <c r="C13" s="34" t="inlineStr">
        <is>
          <t>Y học cổ truyền</t>
        </is>
      </c>
    </row>
    <row r="14">
      <c r="A14" s="34" t="n">
        <v>4</v>
      </c>
      <c r="B14" s="34" t="inlineStr">
        <is>
          <t>7720201</t>
        </is>
      </c>
      <c r="C14" s="34" t="inlineStr">
        <is>
          <t>Dược học</t>
        </is>
      </c>
    </row>
    <row r="15">
      <c r="A15" s="34" t="n">
        <v>5</v>
      </c>
      <c r="B15" s="34" t="inlineStr">
        <is>
          <t>7720301</t>
        </is>
      </c>
      <c r="C15" s="34" t="inlineStr">
        <is>
          <t>Điều dưỡng</t>
        </is>
      </c>
    </row>
    <row r="16">
      <c r="A16" s="34" t="n">
        <v>6</v>
      </c>
      <c r="B16" s="34" t="inlineStr">
        <is>
          <t>7720302</t>
        </is>
      </c>
      <c r="C16" s="34" t="inlineStr">
        <is>
          <t>Hộ sinh</t>
        </is>
      </c>
    </row>
    <row r="17">
      <c r="A17" s="34" t="n">
        <v>7</v>
      </c>
      <c r="B17" s="34" t="inlineStr">
        <is>
          <t>7720401</t>
        </is>
      </c>
      <c r="C17" s="34" t="inlineStr">
        <is>
          <t>Dinh dưỡng</t>
        </is>
      </c>
    </row>
    <row r="18">
      <c r="A18" s="34" t="n">
        <v>8</v>
      </c>
      <c r="B18" s="34" t="inlineStr">
        <is>
          <t>7720501</t>
        </is>
      </c>
      <c r="C18" s="34" t="inlineStr">
        <is>
          <t>Răng - Hàm - Mặt</t>
        </is>
      </c>
    </row>
    <row r="19">
      <c r="A19" s="34" t="n">
        <v>9</v>
      </c>
      <c r="B19" s="34" t="inlineStr">
        <is>
          <t>7720601</t>
        </is>
      </c>
      <c r="C19" s="34" t="inlineStr">
        <is>
          <t>Kỹ thuật xét nghiệm y học</t>
        </is>
      </c>
    </row>
    <row r="20">
      <c r="A20" s="34" t="n">
        <v>10</v>
      </c>
      <c r="B20" s="34" t="inlineStr">
        <is>
          <t>7720602</t>
        </is>
      </c>
      <c r="C20" s="34" t="inlineStr">
        <is>
          <t>Kỹ thuật hình ảnh y học</t>
        </is>
      </c>
    </row>
    <row r="21">
      <c r="A21" s="34" t="n">
        <v>11</v>
      </c>
      <c r="B21" s="34" t="inlineStr">
        <is>
          <t>7720701</t>
        </is>
      </c>
      <c r="C21" s="34" t="inlineStr">
        <is>
          <t>Y tế công cộng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uemed-univ.edu.vn/" r:id="rId2"/>
    <hyperlink xmlns:r="http://schemas.openxmlformats.org/officeDocument/2006/relationships" ref="B6" display="https://tuyensinh.huemed-univ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3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Nghệ thuật - Đại học Huế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Huế</t>
        </is>
      </c>
    </row>
    <row r="4" ht="15" customHeight="1" s="35">
      <c r="A4" s="66" t="inlineStr">
        <is>
          <t>Tỉnh/TP (cũ):</t>
        </is>
      </c>
      <c r="B4" s="67" t="inlineStr">
        <is>
          <t>Thừa Thiên Huế</t>
        </is>
      </c>
    </row>
    <row r="5" ht="15" customHeight="1" s="35">
      <c r="A5" s="66" t="inlineStr">
        <is>
          <t>Trang chủ:</t>
        </is>
      </c>
      <c r="B5" s="65" t="inlineStr">
        <is>
          <t>https://hufa.edu.vn/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https://tuyensinh.hufa.edu.vn/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các trang tuyển sinh Nghệ thuật Huế.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7140222</t>
        </is>
      </c>
      <c r="C11" s="34" t="inlineStr">
        <is>
          <t>Sư phạm Mỹ thuật</t>
        </is>
      </c>
    </row>
    <row r="12">
      <c r="A12" s="34" t="n">
        <v>2</v>
      </c>
      <c r="B12" s="34" t="inlineStr">
        <is>
          <t>7210103</t>
        </is>
      </c>
      <c r="C12" s="34" t="inlineStr">
        <is>
          <t>Hội họa</t>
        </is>
      </c>
    </row>
    <row r="13">
      <c r="A13" s="34" t="n">
        <v>3</v>
      </c>
      <c r="B13" s="34" t="inlineStr">
        <is>
          <t>7210105</t>
        </is>
      </c>
      <c r="C13" s="34" t="inlineStr">
        <is>
          <t>Điêu khắc</t>
        </is>
      </c>
    </row>
    <row r="14">
      <c r="A14" s="34" t="n">
        <v>4</v>
      </c>
      <c r="B14" s="34" t="inlineStr">
        <is>
          <t>7210403</t>
        </is>
      </c>
      <c r="C14" s="34" t="inlineStr">
        <is>
          <t>Thiết kế Đồ họa</t>
        </is>
      </c>
    </row>
    <row r="15">
      <c r="A15" s="34" t="n">
        <v>5</v>
      </c>
      <c r="B15" s="34" t="inlineStr">
        <is>
          <t>7210404</t>
        </is>
      </c>
      <c r="C15" s="34" t="inlineStr">
        <is>
          <t>Thiết kế Thời trang</t>
        </is>
      </c>
    </row>
    <row r="16">
      <c r="A16" s="34" t="n">
        <v>6</v>
      </c>
      <c r="B16" s="34" t="inlineStr">
        <is>
          <t>7580108</t>
        </is>
      </c>
      <c r="C16" s="34" t="inlineStr">
        <is>
          <t>Thiết kế Nội thất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ufa.edu.vn/" r:id="rId2"/>
    <hyperlink xmlns:r="http://schemas.openxmlformats.org/officeDocument/2006/relationships" ref="B6" display="https://tuyensinh.hufa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4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Du lịch - Đại học Huế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Huế</t>
        </is>
      </c>
    </row>
    <row r="4" ht="15" customHeight="1" s="35">
      <c r="A4" s="66" t="inlineStr">
        <is>
          <t>Tỉnh/TP (cũ):</t>
        </is>
      </c>
      <c r="B4" s="67" t="inlineStr">
        <is>
          <t>Thừa Thiên Huế</t>
        </is>
      </c>
    </row>
    <row r="5" ht="15" customHeight="1" s="35">
      <c r="A5" s="66" t="inlineStr">
        <is>
          <t>Trang chủ:</t>
        </is>
      </c>
      <c r="B5" s="65" t="inlineStr">
        <is>
          <t>https://huht.edu.vn/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https://tuyensinh.huht.edu.vn/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các trang tuyển sinh Du lịch Huế.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7340101</t>
        </is>
      </c>
      <c r="C11" s="34" t="inlineStr">
        <is>
          <t>Quản trị kinh doanh</t>
        </is>
      </c>
    </row>
    <row r="12">
      <c r="A12" s="34" t="n">
        <v>2</v>
      </c>
      <c r="B12" s="34" t="inlineStr">
        <is>
          <t>7810103</t>
        </is>
      </c>
      <c r="C12" s="34" t="inlineStr">
        <is>
          <t>Quản trị dịch vụ du lịch và lữ hành</t>
        </is>
      </c>
    </row>
    <row r="13">
      <c r="A13" s="34" t="n">
        <v>3</v>
      </c>
      <c r="B13" s="34" t="inlineStr">
        <is>
          <t>7810201</t>
        </is>
      </c>
      <c r="C13" s="34" t="inlineStr">
        <is>
          <t>Quản trị khách sạn</t>
        </is>
      </c>
    </row>
    <row r="14">
      <c r="A14" s="34" t="n">
        <v>4</v>
      </c>
      <c r="B14" s="34" t="inlineStr">
        <is>
          <t>7810202</t>
        </is>
      </c>
      <c r="C14" s="34" t="inlineStr">
        <is>
          <t>Quản trị nhà hàng và dịch vụ ăn uống</t>
        </is>
      </c>
    </row>
    <row r="15">
      <c r="A15" s="34" t="n">
        <v>5</v>
      </c>
      <c r="B15" s="34" t="inlineStr">
        <is>
          <t>7810101</t>
        </is>
      </c>
      <c r="C15" s="34" t="inlineStr">
        <is>
          <t>Du lịch</t>
        </is>
      </c>
    </row>
    <row r="16">
      <c r="A16" s="34" t="n">
        <v>6</v>
      </c>
      <c r="B16" s="34" t="inlineStr">
        <is>
          <t>7810102</t>
        </is>
      </c>
      <c r="C16" s="34" t="inlineStr">
        <is>
          <t>Du lịch điện tử</t>
        </is>
      </c>
    </row>
    <row r="17">
      <c r="A17" s="34" t="n">
        <v>7</v>
      </c>
      <c r="B17" s="34" t="inlineStr">
        <is>
          <t>7810104</t>
        </is>
      </c>
      <c r="C17" s="34" t="inlineStr">
        <is>
          <t>Quản trị du lịch và khách sạn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uht.edu.vn/" r:id="rId2"/>
    <hyperlink xmlns:r="http://schemas.openxmlformats.org/officeDocument/2006/relationships" ref="B6" display="https://tuyensinh.huht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5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Nông Lâm - Đại học Huế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Huế</t>
        </is>
      </c>
    </row>
    <row r="4" ht="15" customHeight="1" s="35">
      <c r="A4" s="66" t="inlineStr">
        <is>
          <t>Tỉnh/TP (cũ):</t>
        </is>
      </c>
      <c r="B4" s="67" t="inlineStr">
        <is>
          <t>Thừa Thiên Huế</t>
        </is>
      </c>
    </row>
    <row r="5" ht="15" customHeight="1" s="35">
      <c r="A5" s="66" t="inlineStr">
        <is>
          <t>Trang chủ:</t>
        </is>
      </c>
      <c r="B5" s="65" t="inlineStr">
        <is>
          <t>https://huaf.edu.vn/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https://tuyensinh.huaf.edu.vn/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các trang tuyển sinh Nông Lâm Huế.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7510201</t>
        </is>
      </c>
      <c r="C11" s="34" t="inlineStr">
        <is>
          <t>Công nghệ kỹ thuật cơ khí</t>
        </is>
      </c>
    </row>
    <row r="12">
      <c r="A12" s="34" t="n">
        <v>2</v>
      </c>
      <c r="B12" s="34" t="inlineStr">
        <is>
          <t>7520114</t>
        </is>
      </c>
      <c r="C12" s="34" t="inlineStr">
        <is>
          <t>Kỹ thuật cơ – điện tử</t>
        </is>
      </c>
    </row>
    <row r="13">
      <c r="A13" s="34" t="n">
        <v>3</v>
      </c>
      <c r="B13" s="34" t="inlineStr">
        <is>
          <t>7540101</t>
        </is>
      </c>
      <c r="C13" s="34" t="inlineStr">
        <is>
          <t>Công nghệ thực phẩm</t>
        </is>
      </c>
    </row>
    <row r="14">
      <c r="A14" s="34" t="n">
        <v>4</v>
      </c>
      <c r="B14" s="34" t="inlineStr">
        <is>
          <t>7540106</t>
        </is>
      </c>
      <c r="C14" s="34" t="inlineStr">
        <is>
          <t>Đảm bảo chất lượng và an toàn thực phẩm</t>
        </is>
      </c>
    </row>
    <row r="15">
      <c r="A15" s="34" t="n">
        <v>5</v>
      </c>
      <c r="B15" s="34" t="inlineStr">
        <is>
          <t>7620105</t>
        </is>
      </c>
      <c r="C15" s="34" t="inlineStr">
        <is>
          <t>Chăn nuôi</t>
        </is>
      </c>
    </row>
    <row r="16">
      <c r="A16" s="34" t="n">
        <v>6</v>
      </c>
      <c r="B16" s="34" t="inlineStr">
        <is>
          <t>7620110</t>
        </is>
      </c>
      <c r="C16" s="34" t="inlineStr">
        <is>
          <t>Khoa học cây trồng</t>
        </is>
      </c>
    </row>
    <row r="17">
      <c r="A17" s="34" t="n">
        <v>7</v>
      </c>
      <c r="B17" s="34" t="inlineStr">
        <is>
          <t>7620112</t>
        </is>
      </c>
      <c r="C17" s="34" t="inlineStr">
        <is>
          <t>Bảo vệ thực vật</t>
        </is>
      </c>
    </row>
    <row r="18">
      <c r="A18" s="34" t="n">
        <v>8</v>
      </c>
      <c r="B18" s="34" t="inlineStr">
        <is>
          <t>7620118</t>
        </is>
      </c>
      <c r="C18" s="34" t="inlineStr">
        <is>
          <t>Nông nghiệp công nghệ cao</t>
        </is>
      </c>
    </row>
    <row r="19">
      <c r="A19" s="34" t="n">
        <v>9</v>
      </c>
      <c r="B19" s="34" t="inlineStr">
        <is>
          <t>7620210</t>
        </is>
      </c>
      <c r="C19" s="34" t="inlineStr">
        <is>
          <t>Lâm nghiệp</t>
        </is>
      </c>
    </row>
    <row r="20">
      <c r="A20" s="34" t="n">
        <v>10</v>
      </c>
      <c r="B20" s="34" t="inlineStr">
        <is>
          <t>7620211</t>
        </is>
      </c>
      <c r="C20" s="34" t="inlineStr">
        <is>
          <t>Quản lý tài nguyên rừng</t>
        </is>
      </c>
    </row>
    <row r="21">
      <c r="A21" s="34" t="n">
        <v>11</v>
      </c>
      <c r="B21" s="34" t="inlineStr">
        <is>
          <t>7620301</t>
        </is>
      </c>
      <c r="C21" s="34" t="inlineStr">
        <is>
          <t>Nuôi trồng thủy sản</t>
        </is>
      </c>
    </row>
    <row r="22">
      <c r="A22" s="34" t="n">
        <v>12</v>
      </c>
      <c r="B22" s="34" t="inlineStr">
        <is>
          <t>7620302</t>
        </is>
      </c>
      <c r="C22" s="34" t="inlineStr">
        <is>
          <t>Bệnh học thủy sản</t>
        </is>
      </c>
    </row>
    <row r="23">
      <c r="A23" s="34" t="n">
        <v>13</v>
      </c>
      <c r="B23" s="34" t="inlineStr">
        <is>
          <t>7640101</t>
        </is>
      </c>
      <c r="C23" s="34" t="inlineStr">
        <is>
          <t>Thú y</t>
        </is>
      </c>
    </row>
    <row r="24">
      <c r="A24" s="34" t="n">
        <v>14</v>
      </c>
      <c r="B24" s="34" t="inlineStr">
        <is>
          <t>7850103</t>
        </is>
      </c>
      <c r="C24" s="34" t="inlineStr">
        <is>
          <t>Quản lý đất đai</t>
        </is>
      </c>
    </row>
    <row r="25">
      <c r="A25" s="34" t="n">
        <v>15</v>
      </c>
      <c r="B25" s="34" t="inlineStr">
        <is>
          <t>7340116</t>
        </is>
      </c>
      <c r="C25" s="34" t="inlineStr">
        <is>
          <t>Bất động sản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uaf.edu.vn/" r:id="rId2"/>
    <hyperlink xmlns:r="http://schemas.openxmlformats.org/officeDocument/2006/relationships" ref="B6" display="https://tuyensinh.huaf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6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Bách khoa - Đại học Đà Nẵng (DUT)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Đà Nẵng</t>
        </is>
      </c>
    </row>
    <row r="4" ht="15" customHeight="1" s="35">
      <c r="A4" s="66" t="inlineStr">
        <is>
          <t>Tỉnh/TP (cũ):</t>
        </is>
      </c>
      <c r="B4" s="67" t="inlineStr">
        <is>
          <t>Đà Nẵng</t>
        </is>
      </c>
    </row>
    <row r="5" ht="15" customHeight="1" s="35">
      <c r="A5" s="66" t="inlineStr">
        <is>
          <t>Trang chủ:</t>
        </is>
      </c>
      <c r="B5" s="65" t="inlineStr">
        <is>
          <t>https://dut.udn.vn/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https://tuyensinh.dut.udn.vn/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các trang tuyển sinh DUT.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7420201</t>
        </is>
      </c>
      <c r="C11" s="34" t="inlineStr">
        <is>
          <t>Công nghệ sinh học</t>
        </is>
      </c>
    </row>
    <row r="12">
      <c r="A12" s="34" t="n">
        <v>2</v>
      </c>
      <c r="B12" s="34" t="inlineStr">
        <is>
          <t>7480106</t>
        </is>
      </c>
      <c r="C12" s="34" t="inlineStr">
        <is>
          <t>Kỹ thuật máy tính</t>
        </is>
      </c>
    </row>
    <row r="13">
      <c r="A13" s="34" t="n">
        <v>3</v>
      </c>
      <c r="B13" s="34" t="inlineStr">
        <is>
          <t>7480201</t>
        </is>
      </c>
      <c r="C13" s="34" t="inlineStr">
        <is>
          <t>Công nghệ thông tin</t>
        </is>
      </c>
    </row>
    <row r="14">
      <c r="A14" s="34" t="n">
        <v>4</v>
      </c>
      <c r="B14" s="34" t="inlineStr">
        <is>
          <t>7510202</t>
        </is>
      </c>
      <c r="C14" s="34" t="inlineStr">
        <is>
          <t>Công nghệ chế tạo máy</t>
        </is>
      </c>
    </row>
    <row r="15">
      <c r="A15" s="34" t="n">
        <v>5</v>
      </c>
      <c r="B15" s="34" t="inlineStr">
        <is>
          <t>7510601</t>
        </is>
      </c>
      <c r="C15" s="34" t="inlineStr">
        <is>
          <t>Quản lý công nghiệp</t>
        </is>
      </c>
    </row>
    <row r="16">
      <c r="A16" s="34" t="n">
        <v>6</v>
      </c>
      <c r="B16" s="34" t="inlineStr">
        <is>
          <t>7520103</t>
        </is>
      </c>
      <c r="C16" s="34" t="inlineStr">
        <is>
          <t>Kỹ thuật cơ khí</t>
        </is>
      </c>
    </row>
    <row r="17">
      <c r="A17" s="34" t="n">
        <v>7</v>
      </c>
      <c r="B17" s="34" t="inlineStr">
        <is>
          <t>7520114</t>
        </is>
      </c>
      <c r="C17" s="34" t="inlineStr">
        <is>
          <t>Kỹ thuật cơ điện tử</t>
        </is>
      </c>
    </row>
    <row r="18">
      <c r="A18" s="34" t="n">
        <v>8</v>
      </c>
      <c r="B18" s="34" t="inlineStr">
        <is>
          <t>7520115</t>
        </is>
      </c>
      <c r="C18" s="34" t="inlineStr">
        <is>
          <t>Kỹ thuật nhiệt</t>
        </is>
      </c>
    </row>
    <row r="19">
      <c r="A19" s="34" t="n">
        <v>9</v>
      </c>
      <c r="B19" s="34" t="inlineStr">
        <is>
          <t>7520122</t>
        </is>
      </c>
      <c r="C19" s="34" t="inlineStr">
        <is>
          <t>Kỹ thuật tàu thủy</t>
        </is>
      </c>
    </row>
    <row r="20">
      <c r="A20" s="34" t="n">
        <v>10</v>
      </c>
      <c r="B20" s="34" t="inlineStr">
        <is>
          <t>7520201</t>
        </is>
      </c>
      <c r="C20" s="34" t="inlineStr">
        <is>
          <t>Kỹ thuật điện</t>
        </is>
      </c>
    </row>
    <row r="21">
      <c r="A21" s="34" t="n">
        <v>11</v>
      </c>
      <c r="B21" s="34" t="inlineStr">
        <is>
          <t>7520207</t>
        </is>
      </c>
      <c r="C21" s="34" t="inlineStr">
        <is>
          <t>Kỹ thuật điện tử - viễn thông</t>
        </is>
      </c>
    </row>
    <row r="22">
      <c r="A22" s="34" t="n">
        <v>12</v>
      </c>
      <c r="B22" s="34" t="inlineStr">
        <is>
          <t>7520216</t>
        </is>
      </c>
      <c r="C22" s="34" t="inlineStr">
        <is>
          <t>Kỹ thuật điều khiển &amp; tự động hóa</t>
        </is>
      </c>
    </row>
    <row r="23">
      <c r="A23" s="34" t="n">
        <v>13</v>
      </c>
      <c r="B23" s="34" t="inlineStr">
        <is>
          <t>7520301</t>
        </is>
      </c>
      <c r="C23" s="34" t="inlineStr">
        <is>
          <t>Kỹ thuật hóa học</t>
        </is>
      </c>
    </row>
    <row r="24">
      <c r="A24" s="34" t="n">
        <v>14</v>
      </c>
      <c r="B24" s="34" t="inlineStr">
        <is>
          <t>7520320</t>
        </is>
      </c>
      <c r="C24" s="34" t="inlineStr">
        <is>
          <t>Kỹ thuật môi trường</t>
        </is>
      </c>
    </row>
    <row r="25">
      <c r="A25" s="34" t="n">
        <v>15</v>
      </c>
      <c r="B25" s="34" t="inlineStr">
        <is>
          <t>7540101</t>
        </is>
      </c>
      <c r="C25" s="34" t="inlineStr">
        <is>
          <t>Công nghệ thực phẩm</t>
        </is>
      </c>
    </row>
    <row r="26">
      <c r="A26" s="34" t="n">
        <v>16</v>
      </c>
      <c r="B26" s="34" t="inlineStr">
        <is>
          <t>7580101</t>
        </is>
      </c>
      <c r="C26" s="34" t="inlineStr">
        <is>
          <t>Kiến trúc</t>
        </is>
      </c>
    </row>
    <row r="27">
      <c r="A27" s="34" t="n">
        <v>17</v>
      </c>
      <c r="B27" s="34" t="inlineStr">
        <is>
          <t>7580201</t>
        </is>
      </c>
      <c r="C27" s="34" t="inlineStr">
        <is>
          <t>Kỹ thuật xây dựng</t>
        </is>
      </c>
    </row>
    <row r="28">
      <c r="A28" s="34" t="n">
        <v>18</v>
      </c>
      <c r="B28" s="34" t="inlineStr">
        <is>
          <t>7580202</t>
        </is>
      </c>
      <c r="C28" s="34" t="inlineStr">
        <is>
          <t>Kỹ thuật xây dựng công trình thủy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dut.udn.vn/" r:id="rId2"/>
    <hyperlink xmlns:r="http://schemas.openxmlformats.org/officeDocument/2006/relationships" ref="B6" display="https://tuyensinh.dut.udn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7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Kinh tế - Đại học Đà Nẵng (DUE)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Đà Nẵng</t>
        </is>
      </c>
    </row>
    <row r="4" ht="15" customHeight="1" s="35">
      <c r="A4" s="66" t="inlineStr">
        <is>
          <t>Tỉnh/TP (cũ):</t>
        </is>
      </c>
      <c r="B4" s="67" t="inlineStr">
        <is>
          <t>Đà Nẵng</t>
        </is>
      </c>
    </row>
    <row r="5" ht="15" customHeight="1" s="35">
      <c r="A5" s="66" t="inlineStr">
        <is>
          <t>Trang chủ:</t>
        </is>
      </c>
      <c r="B5" s="65" t="inlineStr">
        <is>
          <t>https://due.udn.vn/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https://tuyensinh.due.udn.vn/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các trang tuyển sinh DUE.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7340405</t>
        </is>
      </c>
      <c r="C11" s="34" t="inlineStr">
        <is>
          <t>Hệ thống thông tin quản lý</t>
        </is>
      </c>
    </row>
    <row r="12">
      <c r="A12" s="34" t="n">
        <v>2</v>
      </c>
      <c r="B12" s="34" t="inlineStr">
        <is>
          <t>7340115</t>
        </is>
      </c>
      <c r="C12" s="34" t="inlineStr">
        <is>
          <t>Marketing</t>
        </is>
      </c>
    </row>
    <row r="13">
      <c r="A13" s="34" t="n">
        <v>3</v>
      </c>
      <c r="B13" s="34" t="inlineStr">
        <is>
          <t>7340122</t>
        </is>
      </c>
      <c r="C13" s="34" t="inlineStr">
        <is>
          <t>Thương mại điện tử</t>
        </is>
      </c>
    </row>
    <row r="14">
      <c r="A14" s="34" t="n">
        <v>4</v>
      </c>
      <c r="B14" s="34" t="inlineStr">
        <is>
          <t>7340101</t>
        </is>
      </c>
      <c r="C14" s="34" t="inlineStr">
        <is>
          <t>Quản trị kinh doanh</t>
        </is>
      </c>
    </row>
    <row r="15">
      <c r="A15" s="34" t="n">
        <v>5</v>
      </c>
      <c r="B15" s="34" t="inlineStr">
        <is>
          <t>7340120</t>
        </is>
      </c>
      <c r="C15" s="34" t="inlineStr">
        <is>
          <t>Kinh doanh quốc tế</t>
        </is>
      </c>
    </row>
    <row r="16">
      <c r="A16" s="34" t="n">
        <v>6</v>
      </c>
      <c r="B16" s="34" t="inlineStr">
        <is>
          <t>7340121</t>
        </is>
      </c>
      <c r="C16" s="34" t="inlineStr">
        <is>
          <t>Kinh doanh thương mại</t>
        </is>
      </c>
    </row>
    <row r="17">
      <c r="A17" s="34" t="n">
        <v>7</v>
      </c>
      <c r="B17" s="34" t="inlineStr">
        <is>
          <t>7340201</t>
        </is>
      </c>
      <c r="C17" s="34" t="inlineStr">
        <is>
          <t>Tài chính - Ngân hàng</t>
        </is>
      </c>
    </row>
    <row r="18">
      <c r="A18" s="34" t="n">
        <v>8</v>
      </c>
      <c r="B18" s="34" t="inlineStr">
        <is>
          <t>7340301</t>
        </is>
      </c>
      <c r="C18" s="34" t="inlineStr">
        <is>
          <t>Kế toán</t>
        </is>
      </c>
    </row>
    <row r="19">
      <c r="A19" s="34" t="n">
        <v>9</v>
      </c>
      <c r="B19" s="34" t="inlineStr">
        <is>
          <t>7340302</t>
        </is>
      </c>
      <c r="C19" s="34" t="inlineStr">
        <is>
          <t>Kiểm toán</t>
        </is>
      </c>
    </row>
    <row r="20">
      <c r="A20" s="34" t="n">
        <v>10</v>
      </c>
      <c r="B20" s="34" t="inlineStr">
        <is>
          <t>7340404</t>
        </is>
      </c>
      <c r="C20" s="34" t="inlineStr">
        <is>
          <t>Quản trị nhân lực</t>
        </is>
      </c>
    </row>
    <row r="21">
      <c r="A21" s="34" t="n">
        <v>11</v>
      </c>
      <c r="B21" s="34" t="inlineStr">
        <is>
          <t>7460108</t>
        </is>
      </c>
      <c r="C21" s="34" t="inlineStr">
        <is>
          <t>Khoa học dữ liệu</t>
        </is>
      </c>
    </row>
    <row r="22">
      <c r="A22" s="34" t="n">
        <v>12</v>
      </c>
      <c r="B22" s="34" t="inlineStr">
        <is>
          <t>7310101</t>
        </is>
      </c>
      <c r="C22" s="34" t="inlineStr">
        <is>
          <t>Kinh tế</t>
        </is>
      </c>
    </row>
    <row r="23">
      <c r="A23" s="34" t="n">
        <v>13</v>
      </c>
      <c r="B23" s="34" t="inlineStr">
        <is>
          <t>7310107</t>
        </is>
      </c>
      <c r="C23" s="34" t="inlineStr">
        <is>
          <t>Thống kê kinh tế</t>
        </is>
      </c>
    </row>
    <row r="24">
      <c r="A24" s="34" t="n">
        <v>14</v>
      </c>
      <c r="B24" s="34" t="inlineStr">
        <is>
          <t>7810103</t>
        </is>
      </c>
      <c r="C24" s="34" t="inlineStr">
        <is>
          <t>Quản trị kinh doanh du lịch và lữ hành</t>
        </is>
      </c>
    </row>
    <row r="25">
      <c r="A25" s="34" t="n">
        <v>15</v>
      </c>
      <c r="B25" s="34" t="inlineStr">
        <is>
          <t>7810201</t>
        </is>
      </c>
      <c r="C25" s="34" t="inlineStr">
        <is>
          <t>Quản trị khách sạn</t>
        </is>
      </c>
    </row>
    <row r="26">
      <c r="A26" s="34" t="n">
        <v>16</v>
      </c>
      <c r="B26" s="34" t="inlineStr">
        <is>
          <t>7340205</t>
        </is>
      </c>
      <c r="C26" s="34" t="inlineStr">
        <is>
          <t>Công nghệ tài chính</t>
        </is>
      </c>
    </row>
    <row r="27">
      <c r="A27" s="34" t="n">
        <v>17</v>
      </c>
      <c r="B27" s="34" t="inlineStr">
        <is>
          <t>7380101</t>
        </is>
      </c>
      <c r="C27" s="34" t="inlineStr">
        <is>
          <t>Luật</t>
        </is>
      </c>
    </row>
    <row r="28">
      <c r="A28" s="34" t="n">
        <v>18</v>
      </c>
      <c r="B28" s="34" t="inlineStr">
        <is>
          <t>7380107</t>
        </is>
      </c>
      <c r="C28" s="34" t="inlineStr">
        <is>
          <t>Luật kinh tế</t>
        </is>
      </c>
    </row>
    <row r="29">
      <c r="A29" s="34" t="n">
        <v>19</v>
      </c>
      <c r="B29" s="34" t="inlineStr">
        <is>
          <t>7310205</t>
        </is>
      </c>
      <c r="C29" s="34" t="inlineStr">
        <is>
          <t>Quản lý nhà nước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due.udn.vn/" r:id="rId2"/>
    <hyperlink xmlns:r="http://schemas.openxmlformats.org/officeDocument/2006/relationships" ref="B6" display="https://tuyensinh.due.udn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8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Sư phạm - Đại học Đà Nẵng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Đà Nẵng</t>
        </is>
      </c>
    </row>
    <row r="4" ht="15" customHeight="1" s="35">
      <c r="A4" s="66" t="inlineStr">
        <is>
          <t>Tỉnh/TP (cũ):</t>
        </is>
      </c>
      <c r="B4" s="67" t="inlineStr">
        <is>
          <t>Đà Nẵng</t>
        </is>
      </c>
    </row>
    <row r="5" ht="15" customHeight="1" s="35">
      <c r="A5" s="66" t="inlineStr">
        <is>
          <t>Trang chủ:</t>
        </is>
      </c>
      <c r="B5" s="65" t="inlineStr">
        <is>
          <t>https://ued.udn.vn/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https://tuyensinh.ued.udn.vn/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2025-2026. Nguồn: các trang tuyển sinh.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7140201</t>
        </is>
      </c>
      <c r="C11" s="34" t="inlineStr">
        <is>
          <t>Giáo dục Mầm non</t>
        </is>
      </c>
    </row>
    <row r="12">
      <c r="A12" s="34" t="n">
        <v>2</v>
      </c>
      <c r="B12" s="34" t="inlineStr">
        <is>
          <t>7140202</t>
        </is>
      </c>
      <c r="C12" s="34" t="inlineStr">
        <is>
          <t>Giáo dục Tiểu học</t>
        </is>
      </c>
    </row>
    <row r="13">
      <c r="A13" s="34" t="n">
        <v>3</v>
      </c>
      <c r="B13" s="34" t="inlineStr">
        <is>
          <t>7140204</t>
        </is>
      </c>
      <c r="C13" s="34" t="inlineStr">
        <is>
          <t>Giáo dục Công dân</t>
        </is>
      </c>
    </row>
    <row r="14">
      <c r="A14" s="34" t="n">
        <v>4</v>
      </c>
      <c r="B14" s="34" t="inlineStr">
        <is>
          <t>7140205</t>
        </is>
      </c>
      <c r="C14" s="34" t="inlineStr">
        <is>
          <t>Giáo dục Chính trị</t>
        </is>
      </c>
    </row>
    <row r="15">
      <c r="A15" s="34" t="n">
        <v>5</v>
      </c>
      <c r="B15" s="34" t="inlineStr">
        <is>
          <t>7140206</t>
        </is>
      </c>
      <c r="C15" s="34" t="inlineStr">
        <is>
          <t>Giáo dục thể chất</t>
        </is>
      </c>
    </row>
    <row r="16">
      <c r="A16" s="34" t="n">
        <v>6</v>
      </c>
      <c r="B16" s="34" t="inlineStr">
        <is>
          <t>7140209</t>
        </is>
      </c>
      <c r="C16" s="34" t="inlineStr">
        <is>
          <t>Sư phạm Toán học</t>
        </is>
      </c>
    </row>
    <row r="17">
      <c r="A17" s="34" t="n">
        <v>7</v>
      </c>
      <c r="B17" s="34" t="inlineStr">
        <is>
          <t>7140210</t>
        </is>
      </c>
      <c r="C17" s="34" t="inlineStr">
        <is>
          <t>Sư phạm Tin học</t>
        </is>
      </c>
    </row>
    <row r="18">
      <c r="A18" s="34" t="n">
        <v>8</v>
      </c>
      <c r="B18" s="34" t="inlineStr">
        <is>
          <t>7140211</t>
        </is>
      </c>
      <c r="C18" s="34" t="inlineStr">
        <is>
          <t>Sư phạm Vật lý</t>
        </is>
      </c>
    </row>
    <row r="19">
      <c r="A19" s="34" t="n">
        <v>9</v>
      </c>
      <c r="B19" s="34" t="inlineStr">
        <is>
          <t>7140212</t>
        </is>
      </c>
      <c r="C19" s="34" t="inlineStr">
        <is>
          <t>Sư phạm Hóa học</t>
        </is>
      </c>
    </row>
    <row r="20">
      <c r="A20" s="34" t="n">
        <v>10</v>
      </c>
      <c r="B20" s="34" t="inlineStr">
        <is>
          <t>7140213</t>
        </is>
      </c>
      <c r="C20" s="34" t="inlineStr">
        <is>
          <t>Sư phạm Sinh học</t>
        </is>
      </c>
    </row>
    <row r="21">
      <c r="A21" s="34" t="n">
        <v>11</v>
      </c>
      <c r="B21" s="34" t="inlineStr">
        <is>
          <t>7140217</t>
        </is>
      </c>
      <c r="C21" s="34" t="inlineStr">
        <is>
          <t>Sư phạm Ngữ văn</t>
        </is>
      </c>
    </row>
    <row r="22">
      <c r="A22" s="34" t="n">
        <v>12</v>
      </c>
      <c r="B22" s="34" t="inlineStr">
        <is>
          <t>7140218</t>
        </is>
      </c>
      <c r="C22" s="34" t="inlineStr">
        <is>
          <t>Sư phạm Lịch sử</t>
        </is>
      </c>
    </row>
    <row r="23">
      <c r="A23" s="34" t="n">
        <v>13</v>
      </c>
      <c r="B23" s="34" t="inlineStr">
        <is>
          <t>7140219</t>
        </is>
      </c>
      <c r="C23" s="34" t="inlineStr">
        <is>
          <t>Sư phạm Địa lý</t>
        </is>
      </c>
    </row>
    <row r="24">
      <c r="A24" s="34" t="n">
        <v>14</v>
      </c>
      <c r="B24" s="34" t="inlineStr">
        <is>
          <t>7140221</t>
        </is>
      </c>
      <c r="C24" s="34" t="inlineStr">
        <is>
          <t>Sư phạm Âm nhạc</t>
        </is>
      </c>
    </row>
    <row r="25">
      <c r="A25" s="34" t="n">
        <v>15</v>
      </c>
      <c r="B25" s="34" t="inlineStr">
        <is>
          <t>7140247</t>
        </is>
      </c>
      <c r="C25" s="34" t="inlineStr">
        <is>
          <t>Sư phạm Khoa học tự nhiên</t>
        </is>
      </c>
    </row>
    <row r="26">
      <c r="A26" s="34" t="n">
        <v>16</v>
      </c>
      <c r="B26" s="34" t="inlineStr">
        <is>
          <t>7140249</t>
        </is>
      </c>
      <c r="C26" s="34" t="inlineStr">
        <is>
          <t>Sư phạm Lịch sử- Địa lý</t>
        </is>
      </c>
    </row>
    <row r="27">
      <c r="A27" s="34" t="n">
        <v>17</v>
      </c>
      <c r="B27" s="34" t="inlineStr">
        <is>
          <t>7480201</t>
        </is>
      </c>
      <c r="C27" s="34" t="inlineStr">
        <is>
          <t>Công nghệ thông tin</t>
        </is>
      </c>
    </row>
    <row r="28">
      <c r="A28" s="34" t="n">
        <v>18</v>
      </c>
      <c r="B28" s="34" t="inlineStr">
        <is>
          <t>7420201</t>
        </is>
      </c>
      <c r="C28" s="34" t="inlineStr">
        <is>
          <t>Công nghệ Sinh học</t>
        </is>
      </c>
    </row>
    <row r="29">
      <c r="A29" s="34" t="n">
        <v>19</v>
      </c>
      <c r="B29" s="34" t="inlineStr">
        <is>
          <t>7310401</t>
        </is>
      </c>
      <c r="C29" s="34" t="inlineStr">
        <is>
          <t>Tâm lý học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ued.udn.vn/" r:id="rId2"/>
    <hyperlink xmlns:r="http://schemas.openxmlformats.org/officeDocument/2006/relationships" ref="B6" display="https://tuyensinh.ued.udn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9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Y Dược - Đại học Đà Nẵng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Đà Nẵng</t>
        </is>
      </c>
    </row>
    <row r="4" ht="15" customHeight="1" s="35">
      <c r="A4" s="66" t="inlineStr">
        <is>
          <t>Tỉnh/TP (cũ):</t>
        </is>
      </c>
      <c r="B4" s="67" t="inlineStr">
        <is>
          <t>Đà Nẵng</t>
        </is>
      </c>
    </row>
    <row r="5" ht="15" customHeight="1" s="35">
      <c r="A5" s="66" t="inlineStr">
        <is>
          <t>Trang chủ:</t>
        </is>
      </c>
      <c r="B5" s="65" t="inlineStr">
        <is>
          <t>https://ump.udn.vn/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https://tuyensinh.ump.udn.vn/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2025-2026. Nguồn: các trang tuyển sinh.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7720101</t>
        </is>
      </c>
      <c r="C11" s="34" t="inlineStr">
        <is>
          <t>Y khoa</t>
        </is>
      </c>
    </row>
    <row r="12">
      <c r="A12" s="34" t="n">
        <v>2</v>
      </c>
      <c r="B12" s="34" t="inlineStr">
        <is>
          <t>7720501</t>
        </is>
      </c>
      <c r="C12" s="34" t="inlineStr">
        <is>
          <t>Răng- Hàm- Mặt</t>
        </is>
      </c>
    </row>
    <row r="13">
      <c r="A13" s="34" t="n">
        <v>3</v>
      </c>
      <c r="B13" s="34" t="inlineStr">
        <is>
          <t>7720201</t>
        </is>
      </c>
      <c r="C13" s="34" t="inlineStr">
        <is>
          <t>Dược học</t>
        </is>
      </c>
    </row>
    <row r="14">
      <c r="A14" s="34" t="n">
        <v>4</v>
      </c>
      <c r="B14" s="34" t="inlineStr">
        <is>
          <t>7720203</t>
        </is>
      </c>
      <c r="C14" s="34" t="inlineStr">
        <is>
          <t>Hóa dược</t>
        </is>
      </c>
    </row>
    <row r="15">
      <c r="A15" s="34" t="n">
        <v>5</v>
      </c>
      <c r="B15" s="34" t="inlineStr">
        <is>
          <t>7720301</t>
        </is>
      </c>
      <c r="C15" s="34" t="inlineStr">
        <is>
          <t>Điều dưỡng</t>
        </is>
      </c>
    </row>
    <row r="16">
      <c r="A16" s="34" t="n">
        <v>6</v>
      </c>
      <c r="B16" s="34" t="inlineStr">
        <is>
          <t>7720601</t>
        </is>
      </c>
      <c r="C16" s="34" t="inlineStr">
        <is>
          <t>Kỹ thuật xét nghiệm y học</t>
        </is>
      </c>
    </row>
    <row r="17">
      <c r="A17" s="34" t="n">
        <v>7</v>
      </c>
      <c r="B17" s="34" t="inlineStr">
        <is>
          <t>7310401</t>
        </is>
      </c>
      <c r="C17" s="34" t="inlineStr">
        <is>
          <t>Tâm lý học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ump.udn.vn/" r:id="rId2"/>
    <hyperlink xmlns:r="http://schemas.openxmlformats.org/officeDocument/2006/relationships" ref="B6" display="https://tuyensinh.ump.udn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0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Ngoại ngữ - Đại học Đà Nẵng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Đà Nẵng</t>
        </is>
      </c>
    </row>
    <row r="4" ht="15" customHeight="1" s="35">
      <c r="A4" s="66" t="inlineStr">
        <is>
          <t>Tỉnh/TP (cũ):</t>
        </is>
      </c>
      <c r="B4" s="67" t="inlineStr">
        <is>
          <t>Đà Nẵng</t>
        </is>
      </c>
    </row>
    <row r="5" ht="15" customHeight="1" s="35">
      <c r="A5" s="66" t="inlineStr">
        <is>
          <t>Trang chủ:</t>
        </is>
      </c>
      <c r="B5" s="65" t="inlineStr">
        <is>
          <t>https://ufl.udn.vn/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https://tuyensinh.ufl.udn.vn/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2025. Nguồn: các trang tuyển sinh.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7140231</t>
        </is>
      </c>
      <c r="C11" s="34" t="inlineStr">
        <is>
          <t>Sư phạm tiếng Anh</t>
        </is>
      </c>
    </row>
    <row r="12">
      <c r="A12" s="34" t="n">
        <v>2</v>
      </c>
      <c r="B12" s="34" t="inlineStr">
        <is>
          <t>7140233</t>
        </is>
      </c>
      <c r="C12" s="34" t="inlineStr">
        <is>
          <t>Sư phạm tiếng Pháp</t>
        </is>
      </c>
    </row>
    <row r="13">
      <c r="A13" s="34" t="n">
        <v>3</v>
      </c>
      <c r="B13" s="34" t="inlineStr">
        <is>
          <t>7140234</t>
        </is>
      </c>
      <c r="C13" s="34" t="inlineStr">
        <is>
          <t>Sư phạm tiếng Trung Quốc</t>
        </is>
      </c>
    </row>
    <row r="14">
      <c r="A14" s="34" t="n">
        <v>4</v>
      </c>
      <c r="B14" s="34" t="inlineStr">
        <is>
          <t>7220201</t>
        </is>
      </c>
      <c r="C14" s="34" t="inlineStr">
        <is>
          <t>Ngôn ngữ Anh</t>
        </is>
      </c>
    </row>
    <row r="15">
      <c r="A15" s="34" t="n">
        <v>5</v>
      </c>
      <c r="B15" s="34" t="inlineStr">
        <is>
          <t>7220202</t>
        </is>
      </c>
      <c r="C15" s="34" t="inlineStr">
        <is>
          <t>Ngôn ngữ Nga</t>
        </is>
      </c>
    </row>
    <row r="16">
      <c r="A16" s="34" t="n">
        <v>6</v>
      </c>
      <c r="B16" s="34" t="inlineStr">
        <is>
          <t>7220203</t>
        </is>
      </c>
      <c r="C16" s="34" t="inlineStr">
        <is>
          <t>Ngôn ngữ Pháp</t>
        </is>
      </c>
    </row>
    <row r="17">
      <c r="A17" s="34" t="n">
        <v>7</v>
      </c>
      <c r="B17" s="34" t="inlineStr">
        <is>
          <t>7220204</t>
        </is>
      </c>
      <c r="C17" s="34" t="inlineStr">
        <is>
          <t>Ngôn ngữ Trung Quốc</t>
        </is>
      </c>
    </row>
    <row r="18">
      <c r="A18" s="34" t="n">
        <v>8</v>
      </c>
      <c r="B18" s="34" t="inlineStr">
        <is>
          <t>7220209</t>
        </is>
      </c>
      <c r="C18" s="34" t="inlineStr">
        <is>
          <t>Ngôn ngữ Nhật</t>
        </is>
      </c>
    </row>
    <row r="19">
      <c r="A19" s="34" t="n">
        <v>9</v>
      </c>
      <c r="B19" s="34" t="inlineStr">
        <is>
          <t>7220210</t>
        </is>
      </c>
      <c r="C19" s="34" t="inlineStr">
        <is>
          <t>Ngôn ngữ Hàn Quốc</t>
        </is>
      </c>
    </row>
    <row r="20">
      <c r="A20" s="34" t="n">
        <v>10</v>
      </c>
      <c r="B20" s="34" t="inlineStr">
        <is>
          <t>7310206</t>
        </is>
      </c>
      <c r="C20" s="34" t="inlineStr">
        <is>
          <t>Quan hệ quốc tế</t>
        </is>
      </c>
    </row>
    <row r="21">
      <c r="A21" s="34" t="n">
        <v>11</v>
      </c>
      <c r="B21" s="34" t="inlineStr">
        <is>
          <t>7310601</t>
        </is>
      </c>
      <c r="C21" s="34" t="inlineStr">
        <is>
          <t>Quốc tế học</t>
        </is>
      </c>
    </row>
    <row r="22">
      <c r="A22" s="34" t="n">
        <v>12</v>
      </c>
      <c r="B22" s="34" t="inlineStr">
        <is>
          <t>7310608</t>
        </is>
      </c>
      <c r="C22" s="34" t="inlineStr">
        <is>
          <t>Đông phương học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ufl.udn.vn/" r:id="rId2"/>
    <hyperlink xmlns:r="http://schemas.openxmlformats.org/officeDocument/2006/relationships" ref="B6" display="https://tuyensinh.ufl.udn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1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Duy Tân (DTU)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Đà Nẵng</t>
        </is>
      </c>
    </row>
    <row r="4" ht="15" customHeight="1" s="35">
      <c r="A4" s="66" t="inlineStr">
        <is>
          <t>Tỉnh/TP (cũ):</t>
        </is>
      </c>
      <c r="B4" s="67" t="inlineStr">
        <is>
          <t>Đà Nẵng</t>
        </is>
      </c>
    </row>
    <row r="5" ht="15" customHeight="1" s="35">
      <c r="A5" s="66" t="inlineStr">
        <is>
          <t>Trang chủ:</t>
        </is>
      </c>
      <c r="B5" s="65" t="inlineStr">
        <is>
          <t>https://duytan.edu.vn/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https://tuyensinh.duytan.edu.vn/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các trang tuyển sinh DTU.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7480103</t>
        </is>
      </c>
      <c r="C11" s="34" t="inlineStr">
        <is>
          <t>Kỹ thuật phần mềm</t>
        </is>
      </c>
    </row>
    <row r="12">
      <c r="A12" s="34" t="n">
        <v>2</v>
      </c>
      <c r="B12" s="34" t="inlineStr">
        <is>
          <t>7480202</t>
        </is>
      </c>
      <c r="C12" s="34" t="inlineStr">
        <is>
          <t>An toàn thông tin</t>
        </is>
      </c>
    </row>
    <row r="13">
      <c r="A13" s="34" t="n">
        <v>3</v>
      </c>
      <c r="B13" s="34" t="inlineStr">
        <is>
          <t>7480101</t>
        </is>
      </c>
      <c r="C13" s="34" t="inlineStr">
        <is>
          <t>Khoa học máy tính</t>
        </is>
      </c>
    </row>
    <row r="14">
      <c r="A14" s="34" t="n">
        <v>4</v>
      </c>
      <c r="B14" s="34" t="inlineStr">
        <is>
          <t>7480107</t>
        </is>
      </c>
      <c r="C14" s="34" t="inlineStr">
        <is>
          <t>Trí tuệ nhân tạo</t>
        </is>
      </c>
    </row>
    <row r="15">
      <c r="A15" s="34" t="n">
        <v>5</v>
      </c>
      <c r="B15" s="34" t="inlineStr">
        <is>
          <t>7460108</t>
        </is>
      </c>
      <c r="C15" s="34" t="inlineStr">
        <is>
          <t>Khoa học dữ liệu</t>
        </is>
      </c>
    </row>
    <row r="16">
      <c r="A16" s="34" t="n">
        <v>6</v>
      </c>
      <c r="B16" s="34" t="inlineStr">
        <is>
          <t>7480102</t>
        </is>
      </c>
      <c r="C16" s="34" t="inlineStr">
        <is>
          <t>Mạng máy tính và Truyền thông dữ liệu</t>
        </is>
      </c>
    </row>
    <row r="17">
      <c r="A17" s="34" t="n">
        <v>7</v>
      </c>
      <c r="B17" s="34" t="inlineStr">
        <is>
          <t>7510301</t>
        </is>
      </c>
      <c r="C17" s="34" t="inlineStr">
        <is>
          <t>Công nghệ kỹ thuật điện, điện tử</t>
        </is>
      </c>
    </row>
    <row r="18">
      <c r="A18" s="34" t="n">
        <v>8</v>
      </c>
      <c r="B18" s="34" t="inlineStr">
        <is>
          <t>7510205</t>
        </is>
      </c>
      <c r="C18" s="34" t="inlineStr">
        <is>
          <t>Công nghệ kỹ thuật ô tô</t>
        </is>
      </c>
    </row>
    <row r="19">
      <c r="A19" s="34" t="n">
        <v>9</v>
      </c>
      <c r="B19" s="34" t="inlineStr">
        <is>
          <t>7520216</t>
        </is>
      </c>
      <c r="C19" s="34" t="inlineStr">
        <is>
          <t>Kỹ thuật Điều khiển và tự động hóa</t>
        </is>
      </c>
    </row>
    <row r="20">
      <c r="A20" s="34" t="n">
        <v>10</v>
      </c>
      <c r="B20" s="34" t="inlineStr">
        <is>
          <t>7340101</t>
        </is>
      </c>
      <c r="C20" s="34" t="inlineStr">
        <is>
          <t>Quản trị kinh doanh</t>
        </is>
      </c>
    </row>
    <row r="21">
      <c r="A21" s="34" t="n">
        <v>11</v>
      </c>
      <c r="B21" s="34" t="inlineStr">
        <is>
          <t>7340122</t>
        </is>
      </c>
      <c r="C21" s="34" t="inlineStr">
        <is>
          <t>Thương mại điện tử</t>
        </is>
      </c>
    </row>
    <row r="22">
      <c r="A22" s="34" t="n">
        <v>12</v>
      </c>
      <c r="B22" s="34" t="inlineStr">
        <is>
          <t>7340404</t>
        </is>
      </c>
      <c r="C22" s="34" t="inlineStr">
        <is>
          <t>Quản trị nhân lực</t>
        </is>
      </c>
    </row>
    <row r="23">
      <c r="A23" s="34" t="n">
        <v>13</v>
      </c>
      <c r="B23" s="34" t="inlineStr">
        <is>
          <t>7510605</t>
        </is>
      </c>
      <c r="C23" s="34" t="inlineStr">
        <is>
          <t>Logistics và Quản lý chuỗi cung ứng</t>
        </is>
      </c>
    </row>
    <row r="24">
      <c r="A24" s="34" t="n">
        <v>14</v>
      </c>
      <c r="B24" s="34" t="inlineStr">
        <is>
          <t>7340115</t>
        </is>
      </c>
      <c r="C24" s="34" t="inlineStr">
        <is>
          <t>Marketing</t>
        </is>
      </c>
    </row>
    <row r="25">
      <c r="A25" s="34" t="n">
        <v>15</v>
      </c>
      <c r="B25" s="34" t="inlineStr">
        <is>
          <t>7340201</t>
        </is>
      </c>
      <c r="C25" s="34" t="inlineStr">
        <is>
          <t>Tài chính-Ngân hàng</t>
        </is>
      </c>
    </row>
    <row r="26">
      <c r="A26" s="34" t="n">
        <v>16</v>
      </c>
      <c r="B26" s="34" t="inlineStr">
        <is>
          <t>7340301</t>
        </is>
      </c>
      <c r="C26" s="34" t="inlineStr">
        <is>
          <t>Kế toán</t>
        </is>
      </c>
    </row>
    <row r="27">
      <c r="A27" s="34" t="n">
        <v>17</v>
      </c>
      <c r="B27" s="34" t="inlineStr">
        <is>
          <t>7220201</t>
        </is>
      </c>
      <c r="C27" s="34" t="inlineStr">
        <is>
          <t>Ngôn ngữ Anh</t>
        </is>
      </c>
    </row>
    <row r="28">
      <c r="A28" s="34" t="n">
        <v>18</v>
      </c>
      <c r="B28" s="34" t="inlineStr">
        <is>
          <t>7220204</t>
        </is>
      </c>
      <c r="C28" s="34" t="inlineStr">
        <is>
          <t>Ngôn ngữ Trung Quốc</t>
        </is>
      </c>
    </row>
    <row r="29">
      <c r="A29" s="34" t="n">
        <v>19</v>
      </c>
      <c r="B29" s="34" t="inlineStr">
        <is>
          <t>7220210</t>
        </is>
      </c>
      <c r="C29" s="34" t="inlineStr">
        <is>
          <t>Ngôn ngữ Hàn Quốc</t>
        </is>
      </c>
    </row>
    <row r="30">
      <c r="A30" s="34" t="n">
        <v>20</v>
      </c>
      <c r="B30" s="34" t="inlineStr">
        <is>
          <t>7220209</t>
        </is>
      </c>
      <c r="C30" s="34" t="inlineStr">
        <is>
          <t>Ngôn ngữ Nhật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duytan.edu.vn/" r:id="rId2"/>
    <hyperlink xmlns:r="http://schemas.openxmlformats.org/officeDocument/2006/relationships" ref="B6" display="https://tuyensinh.duytan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2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Đông Á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Đà Nẵng</t>
        </is>
      </c>
    </row>
    <row r="4" ht="15" customHeight="1" s="35">
      <c r="A4" s="66" t="inlineStr">
        <is>
          <t>Tỉnh/TP (cũ):</t>
        </is>
      </c>
      <c r="B4" s="67" t="inlineStr">
        <is>
          <t>Đà Nẵng</t>
        </is>
      </c>
    </row>
    <row r="5" ht="15" customHeight="1" s="35">
      <c r="A5" s="66" t="inlineStr">
        <is>
          <t>Trang chủ:</t>
        </is>
      </c>
      <c r="B5" s="65" t="inlineStr">
        <is>
          <t>https://donga.edu.vn/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https://tuyensinh.donga.edu.vn/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các trang tuyển sinh Đông Á.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7720101</t>
        </is>
      </c>
      <c r="C11" s="34" t="inlineStr">
        <is>
          <t>Y khoa</t>
        </is>
      </c>
    </row>
    <row r="12">
      <c r="A12" s="34" t="n">
        <v>2</v>
      </c>
      <c r="B12" s="34" t="inlineStr">
        <is>
          <t>7720201</t>
        </is>
      </c>
      <c r="C12" s="34" t="inlineStr">
        <is>
          <t>Dược</t>
        </is>
      </c>
    </row>
    <row r="13">
      <c r="A13" s="34" t="n">
        <v>3</v>
      </c>
      <c r="B13" s="34" t="inlineStr">
        <is>
          <t>7720301</t>
        </is>
      </c>
      <c r="C13" s="34" t="inlineStr">
        <is>
          <t>Điều dưỡng</t>
        </is>
      </c>
    </row>
    <row r="14">
      <c r="A14" s="34" t="n">
        <v>4</v>
      </c>
      <c r="B14" s="34" t="inlineStr">
        <is>
          <t>7720302</t>
        </is>
      </c>
      <c r="C14" s="34" t="inlineStr">
        <is>
          <t>Hộ sinh</t>
        </is>
      </c>
    </row>
    <row r="15">
      <c r="A15" s="34" t="n">
        <v>5</v>
      </c>
      <c r="B15" s="34" t="inlineStr">
        <is>
          <t>7720603</t>
        </is>
      </c>
      <c r="C15" s="34" t="inlineStr">
        <is>
          <t>Kỹ thuật phục hồi chức năng</t>
        </is>
      </c>
    </row>
    <row r="16">
      <c r="A16" s="34" t="n">
        <v>6</v>
      </c>
      <c r="B16" s="34" t="inlineStr">
        <is>
          <t>7720401</t>
        </is>
      </c>
      <c r="C16" s="34" t="inlineStr">
        <is>
          <t>Dinh dưỡng</t>
        </is>
      </c>
    </row>
    <row r="17">
      <c r="A17" s="34" t="n">
        <v>7</v>
      </c>
      <c r="B17" s="34" t="inlineStr">
        <is>
          <t>7510205</t>
        </is>
      </c>
      <c r="C17" s="34" t="inlineStr">
        <is>
          <t>Công nghệ Kỹ thuật Ô tô</t>
        </is>
      </c>
    </row>
    <row r="18">
      <c r="A18" s="34" t="n">
        <v>8</v>
      </c>
      <c r="B18" s="34" t="inlineStr">
        <is>
          <t>7520114</t>
        </is>
      </c>
      <c r="C18" s="34" t="inlineStr">
        <is>
          <t>Kỹ thuật Cơ điện tử</t>
        </is>
      </c>
    </row>
    <row r="19">
      <c r="A19" s="34" t="n">
        <v>9</v>
      </c>
      <c r="B19" s="34" t="inlineStr">
        <is>
          <t>7480201</t>
        </is>
      </c>
      <c r="C19" s="34" t="inlineStr">
        <is>
          <t>Công nghệ thông tin</t>
        </is>
      </c>
    </row>
    <row r="20">
      <c r="A20" s="34" t="n">
        <v>10</v>
      </c>
      <c r="B20" s="34" t="inlineStr">
        <is>
          <t>7480106</t>
        </is>
      </c>
      <c r="C20" s="34" t="inlineStr">
        <is>
          <t>Kỹ thuật máy tính</t>
        </is>
      </c>
    </row>
    <row r="21">
      <c r="A21" s="34" t="n">
        <v>11</v>
      </c>
      <c r="B21" s="34" t="inlineStr">
        <is>
          <t>7480107</t>
        </is>
      </c>
      <c r="C21" s="34" t="inlineStr">
        <is>
          <t>Trí tuệ nhân tạo</t>
        </is>
      </c>
    </row>
    <row r="22">
      <c r="A22" s="34" t="n">
        <v>12</v>
      </c>
      <c r="B22" s="34" t="inlineStr">
        <is>
          <t>7510301</t>
        </is>
      </c>
      <c r="C22" s="34" t="inlineStr">
        <is>
          <t>Công nghệ Kỹ thuật Điện – Điện tử</t>
        </is>
      </c>
    </row>
    <row r="23">
      <c r="A23" s="34" t="n">
        <v>13</v>
      </c>
      <c r="B23" s="34" t="inlineStr">
        <is>
          <t>7510303</t>
        </is>
      </c>
      <c r="C23" s="34" t="inlineStr">
        <is>
          <t>Công nghệ Kỹ thuật điều khiển &amp; tự động hoá</t>
        </is>
      </c>
    </row>
    <row r="24">
      <c r="A24" s="34" t="n">
        <v>14</v>
      </c>
      <c r="B24" s="34" t="inlineStr">
        <is>
          <t>7510102</t>
        </is>
      </c>
      <c r="C24" s="34" t="inlineStr">
        <is>
          <t>Công nghệ Kỹ thuật Xây dựng</t>
        </is>
      </c>
    </row>
    <row r="25">
      <c r="A25" s="34" t="n">
        <v>15</v>
      </c>
      <c r="B25" s="34" t="inlineStr">
        <is>
          <t>7420201</t>
        </is>
      </c>
      <c r="C25" s="34" t="inlineStr">
        <is>
          <t>Công nghệ sinh học</t>
        </is>
      </c>
    </row>
    <row r="26">
      <c r="A26" s="34" t="n">
        <v>16</v>
      </c>
      <c r="B26" s="34" t="inlineStr">
        <is>
          <t>7540101</t>
        </is>
      </c>
      <c r="C26" s="34" t="inlineStr">
        <is>
          <t>Công nghệ thực phẩm</t>
        </is>
      </c>
    </row>
    <row r="27">
      <c r="A27" s="34" t="n">
        <v>17</v>
      </c>
      <c r="B27" s="34" t="inlineStr">
        <is>
          <t>7640101</t>
        </is>
      </c>
      <c r="C27" s="34" t="inlineStr">
        <is>
          <t>Thú Y</t>
        </is>
      </c>
    </row>
    <row r="28">
      <c r="A28" s="34" t="n">
        <v>18</v>
      </c>
      <c r="B28" s="34" t="inlineStr">
        <is>
          <t>7210403</t>
        </is>
      </c>
      <c r="C28" s="34" t="inlineStr">
        <is>
          <t>Đồ họa</t>
        </is>
      </c>
    </row>
    <row r="29">
      <c r="A29" s="34" t="n">
        <v>19</v>
      </c>
      <c r="B29" s="34" t="inlineStr">
        <is>
          <t>7220201</t>
        </is>
      </c>
      <c r="C29" s="34" t="inlineStr">
        <is>
          <t>Ngôn ngữ Anh</t>
        </is>
      </c>
    </row>
    <row r="30">
      <c r="A30" s="34" t="n">
        <v>20</v>
      </c>
      <c r="B30" s="34" t="inlineStr">
        <is>
          <t>7220204</t>
        </is>
      </c>
      <c r="C30" s="34" t="inlineStr">
        <is>
          <t>Ngôn ngữ Trung Quốc</t>
        </is>
      </c>
    </row>
    <row r="31">
      <c r="A31" s="34" t="n">
        <v>21</v>
      </c>
      <c r="B31" s="34" t="inlineStr">
        <is>
          <t>7220210</t>
        </is>
      </c>
      <c r="C31" s="34" t="inlineStr">
        <is>
          <t>Ngôn ngữ Hàn Quốc</t>
        </is>
      </c>
    </row>
    <row r="32">
      <c r="A32" s="34" t="n">
        <v>22</v>
      </c>
      <c r="B32" s="34" t="inlineStr">
        <is>
          <t>7220209</t>
        </is>
      </c>
      <c r="C32" s="34" t="inlineStr">
        <is>
          <t>Ngôn ngữ Nhật</t>
        </is>
      </c>
    </row>
    <row r="33">
      <c r="A33" s="34" t="n">
        <v>23</v>
      </c>
      <c r="B33" s="34" t="inlineStr">
        <is>
          <t>7510605</t>
        </is>
      </c>
      <c r="C33" s="34" t="inlineStr">
        <is>
          <t>Logistics &amp; Quản lý chuỗi cung ứng</t>
        </is>
      </c>
    </row>
    <row r="34">
      <c r="A34" s="34" t="n">
        <v>24</v>
      </c>
      <c r="B34" s="34" t="inlineStr">
        <is>
          <t>7340101</t>
        </is>
      </c>
      <c r="C34" s="34" t="inlineStr">
        <is>
          <t>Quản trị kinh doanh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donga.edu.vn/" r:id="rId2"/>
    <hyperlink xmlns:r="http://schemas.openxmlformats.org/officeDocument/2006/relationships" ref="B6" display="https://tuyensinh.donga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3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Nha Trang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Khánh Hòa</t>
        </is>
      </c>
    </row>
    <row r="4" ht="15" customHeight="1" s="35">
      <c r="A4" s="66" t="inlineStr">
        <is>
          <t>Tỉnh/TP (cũ):</t>
        </is>
      </c>
      <c r="B4" s="67" t="inlineStr">
        <is>
          <t>Khánh Hòa</t>
        </is>
      </c>
    </row>
    <row r="5" ht="15" customHeight="1" s="35">
      <c r="A5" s="66" t="inlineStr">
        <is>
          <t>Trang chủ:</t>
        </is>
      </c>
      <c r="B5" s="65" t="inlineStr">
        <is>
          <t>https://ntu.edu.vn/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https://tuyensinh.ntu.edu.vn/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các trang tuyển sinh NTU.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7480201</t>
        </is>
      </c>
      <c r="C11" s="34" t="inlineStr">
        <is>
          <t>Công nghệ thông tin</t>
        </is>
      </c>
    </row>
    <row r="12">
      <c r="A12" s="34" t="n">
        <v>2</v>
      </c>
      <c r="B12" s="34" t="inlineStr">
        <is>
          <t>7340301</t>
        </is>
      </c>
      <c r="C12" s="34" t="inlineStr">
        <is>
          <t>Kế toán</t>
        </is>
      </c>
    </row>
    <row r="13">
      <c r="A13" s="34" t="n">
        <v>3</v>
      </c>
      <c r="B13" s="34" t="inlineStr">
        <is>
          <t>7340201</t>
        </is>
      </c>
      <c r="C13" s="34" t="inlineStr">
        <is>
          <t>Tài chính - Ngân hàng</t>
        </is>
      </c>
    </row>
    <row r="14">
      <c r="A14" s="34" t="n">
        <v>4</v>
      </c>
      <c r="B14" s="34" t="inlineStr">
        <is>
          <t>7340101</t>
        </is>
      </c>
      <c r="C14" s="34" t="inlineStr">
        <is>
          <t>Quản trị kinh doanh</t>
        </is>
      </c>
    </row>
    <row r="15">
      <c r="A15" s="34" t="n">
        <v>5</v>
      </c>
      <c r="B15" s="34" t="inlineStr">
        <is>
          <t>7810201</t>
        </is>
      </c>
      <c r="C15" s="34" t="inlineStr">
        <is>
          <t>Quản trị khách sạn</t>
        </is>
      </c>
    </row>
    <row r="16">
      <c r="A16" s="34" t="n">
        <v>6</v>
      </c>
      <c r="B16" s="34" t="inlineStr">
        <is>
          <t>7810103</t>
        </is>
      </c>
      <c r="C16" s="34" t="inlineStr">
        <is>
          <t>Quản trị dịch vụ du lịch và lữ hành</t>
        </is>
      </c>
    </row>
    <row r="17">
      <c r="A17" s="34" t="n">
        <v>7</v>
      </c>
      <c r="B17" s="34" t="inlineStr">
        <is>
          <t>7540105</t>
        </is>
      </c>
      <c r="C17" s="34" t="inlineStr">
        <is>
          <t>Công nghệ chế biến thủy sản</t>
        </is>
      </c>
    </row>
    <row r="18">
      <c r="A18" s="34" t="n">
        <v>8</v>
      </c>
      <c r="B18" s="34" t="inlineStr">
        <is>
          <t>7620301</t>
        </is>
      </c>
      <c r="C18" s="34" t="inlineStr">
        <is>
          <t>Nuôi trồng thủy sản</t>
        </is>
      </c>
    </row>
    <row r="19">
      <c r="A19" s="34" t="n">
        <v>9</v>
      </c>
      <c r="B19" s="34" t="inlineStr">
        <is>
          <t>7420201</t>
        </is>
      </c>
      <c r="C19" s="34" t="inlineStr">
        <is>
          <t>Công nghệ sinh học</t>
        </is>
      </c>
    </row>
    <row r="20">
      <c r="A20" s="34" t="n">
        <v>10</v>
      </c>
      <c r="B20" s="34" t="inlineStr">
        <is>
          <t>7520103</t>
        </is>
      </c>
      <c r="C20" s="34" t="inlineStr">
        <is>
          <t>Cơ khí thủy sản / Kỹ thuật cơ khí</t>
        </is>
      </c>
    </row>
    <row r="21">
      <c r="A21" s="34" t="n">
        <v>11</v>
      </c>
      <c r="B21" s="34" t="inlineStr">
        <is>
          <t>7620303</t>
        </is>
      </c>
      <c r="C21" s="34" t="inlineStr">
        <is>
          <t>Khoa học thủy sản</t>
        </is>
      </c>
    </row>
    <row r="22">
      <c r="A22" s="34" t="n">
        <v>12</v>
      </c>
      <c r="B22" s="34" t="inlineStr">
        <is>
          <t>7620305</t>
        </is>
      </c>
      <c r="C22" s="34" t="inlineStr">
        <is>
          <t>Quản lý thủy sản</t>
        </is>
      </c>
    </row>
    <row r="23">
      <c r="A23" s="34" t="n">
        <v>13</v>
      </c>
      <c r="B23" s="34" t="inlineStr">
        <is>
          <t>7540101</t>
        </is>
      </c>
      <c r="C23" s="34" t="inlineStr">
        <is>
          <t>Công nghệ thực phẩm</t>
        </is>
      </c>
    </row>
    <row r="24">
      <c r="A24" s="34" t="n">
        <v>14</v>
      </c>
      <c r="B24" s="34" t="inlineStr">
        <is>
          <t>7540106</t>
        </is>
      </c>
      <c r="C24" s="34" t="inlineStr">
        <is>
          <t>Đảm bảo chất lượng và an toàn thực phẩm</t>
        </is>
      </c>
    </row>
    <row r="25">
      <c r="A25" s="34" t="n">
        <v>15</v>
      </c>
      <c r="B25" s="34" t="inlineStr">
        <is>
          <t>7520320</t>
        </is>
      </c>
      <c r="C25" s="34" t="inlineStr">
        <is>
          <t>Kỹ thuật môi trường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ntu.edu.vn/" r:id="rId2"/>
    <hyperlink xmlns:r="http://schemas.openxmlformats.org/officeDocument/2006/relationships" ref="B6" display="https://tuyensinh.nt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4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Học viện Hải quân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Khánh Hòa</t>
        </is>
      </c>
    </row>
    <row r="4" ht="15" customHeight="1" s="35">
      <c r="A4" s="66" t="inlineStr">
        <is>
          <t>Tỉnh/TP (cũ):</t>
        </is>
      </c>
      <c r="B4" s="67" t="inlineStr">
        <is>
          <t>Khánh Hòa</t>
        </is>
      </c>
    </row>
    <row r="5" ht="15" customHeight="1" s="35">
      <c r="A5" s="66" t="inlineStr">
        <is>
          <t>Trang chủ:</t>
        </is>
      </c>
      <c r="B5" s="65" t="inlineStr">
        <is>
          <t>https://hocvienhaiquan.edu.vn/</t>
        </is>
      </c>
    </row>
    <row r="6" ht="15" customHeight="1" s="35">
      <c r="A6" s="66" t="inlineStr">
        <is>
          <t>Trang tuyển sinh:</t>
        </is>
      </c>
      <c r="B6" s="67" t="inlineStr">
        <is>
          <t>Trang tuyển sinh quân sự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thông tin tuyển sinh HV Hải quân.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7860202</t>
        </is>
      </c>
      <c r="C11" s="34" t="inlineStr">
        <is>
          <t>Chỉ huy tham mưu Hải quân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ocvienhaiquan.edu.vn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5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Sĩ quan Thông tin (Đại học Thông tin liên lạc)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Khánh Hòa</t>
        </is>
      </c>
    </row>
    <row r="4" ht="15" customHeight="1" s="35">
      <c r="A4" s="66" t="inlineStr">
        <is>
          <t>Tỉnh/TP (cũ):</t>
        </is>
      </c>
      <c r="B4" s="67" t="inlineStr">
        <is>
          <t>Khánh Hòa</t>
        </is>
      </c>
    </row>
    <row r="5" ht="15" customHeight="1" s="35">
      <c r="A5" s="66" t="inlineStr">
        <is>
          <t>Trang chủ:</t>
        </is>
      </c>
      <c r="B5" s="65" t="inlineStr">
        <is>
          <t>https://truongthongtin.edu.vn/</t>
        </is>
      </c>
    </row>
    <row r="6" ht="15" customHeight="1" s="35">
      <c r="A6" s="66" t="inlineStr">
        <is>
          <t>Trang tuyển sinh:</t>
        </is>
      </c>
      <c r="B6" s="67" t="inlineStr">
        <is>
          <t>Trang tuyển sinh quân sự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đề án tuyển sinh.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7860219</t>
        </is>
      </c>
      <c r="C11" s="34" t="inlineStr">
        <is>
          <t>Chỉ huy – Tham mưu Thông tin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truongthongtin.edu.vn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6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Sĩ quan Không quân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Khánh Hòa</t>
        </is>
      </c>
    </row>
    <row r="4" ht="15" customHeight="1" s="35">
      <c r="A4" s="66" t="inlineStr">
        <is>
          <t>Tỉnh/TP (cũ):</t>
        </is>
      </c>
      <c r="B4" s="67" t="inlineStr">
        <is>
          <t>Khánh Hòa</t>
        </is>
      </c>
    </row>
    <row r="5" ht="15" customHeight="1" s="35">
      <c r="A5" s="66" t="inlineStr">
        <is>
          <t>Trang chủ:</t>
        </is>
      </c>
      <c r="B5" s="65" t="inlineStr">
        <is>
          <t>https://truongkhongquan.edu.vn/</t>
        </is>
      </c>
    </row>
    <row r="6" ht="15" customHeight="1" s="35">
      <c r="A6" s="66" t="inlineStr">
        <is>
          <t>Trang tuyển sinh:</t>
        </is>
      </c>
      <c r="B6" s="67" t="inlineStr">
        <is>
          <t>Trang tuyển sinh quân sự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2025-2026. Nguồn: đề án tuyển sinh.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7860203</t>
        </is>
      </c>
      <c r="C11" s="34" t="inlineStr">
        <is>
          <t>Chỉ huy tham mưu Không quân / Phi công quân sự / Thiết bị bay không người lái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truongkhongquan.edu.vn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7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Quy Nhơn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Gia Lai</t>
        </is>
      </c>
    </row>
    <row r="4" ht="15" customHeight="1" s="35">
      <c r="A4" s="66" t="inlineStr">
        <is>
          <t>Tỉnh/TP (cũ):</t>
        </is>
      </c>
      <c r="B4" s="67" t="inlineStr">
        <is>
          <t>Bình Định</t>
        </is>
      </c>
    </row>
    <row r="5" ht="15" customHeight="1" s="35">
      <c r="A5" s="66" t="inlineStr">
        <is>
          <t>Trang chủ:</t>
        </is>
      </c>
      <c r="B5" s="65" t="inlineStr">
        <is>
          <t>https://qnu.edu.vn/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https://tuyensinh.qnu.edu.vn/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các trang tuyển sinh QNU.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7480103</t>
        </is>
      </c>
      <c r="C11" s="34" t="inlineStr">
        <is>
          <t>Kỹ thuật phần mềm</t>
        </is>
      </c>
    </row>
    <row r="12">
      <c r="A12" s="34" t="n">
        <v>2</v>
      </c>
      <c r="B12" s="34" t="inlineStr">
        <is>
          <t>7480107</t>
        </is>
      </c>
      <c r="C12" s="34" t="inlineStr">
        <is>
          <t>Trí tuệ nhân tạo</t>
        </is>
      </c>
    </row>
    <row r="13">
      <c r="A13" s="34" t="n">
        <v>3</v>
      </c>
      <c r="B13" s="34" t="inlineStr">
        <is>
          <t>7520207</t>
        </is>
      </c>
      <c r="C13" s="34" t="inlineStr">
        <is>
          <t>Kỹ thuật điện tử - viễn thông</t>
        </is>
      </c>
    </row>
    <row r="14">
      <c r="A14" s="34" t="n">
        <v>4</v>
      </c>
      <c r="B14" s="34" t="inlineStr">
        <is>
          <t>7480201</t>
        </is>
      </c>
      <c r="C14" s="34" t="inlineStr">
        <is>
          <t>Công nghệ thông tin</t>
        </is>
      </c>
    </row>
    <row r="15">
      <c r="A15" s="34" t="n">
        <v>5</v>
      </c>
      <c r="B15" s="34" t="inlineStr">
        <is>
          <t>7520201</t>
        </is>
      </c>
      <c r="C15" s="34" t="inlineStr">
        <is>
          <t>Kỹ thuật điện</t>
        </is>
      </c>
    </row>
    <row r="16">
      <c r="A16" s="34" t="n">
        <v>6</v>
      </c>
      <c r="B16" s="34" t="inlineStr">
        <is>
          <t>7520216</t>
        </is>
      </c>
      <c r="C16" s="34" t="inlineStr">
        <is>
          <t>Kỹ thuật điều khiển và TĐH</t>
        </is>
      </c>
    </row>
    <row r="17">
      <c r="A17" s="34" t="n">
        <v>7</v>
      </c>
      <c r="B17" s="34" t="inlineStr">
        <is>
          <t>7520401</t>
        </is>
      </c>
      <c r="C17" s="34" t="inlineStr">
        <is>
          <t>Vật lý kỹ thuật</t>
        </is>
      </c>
    </row>
    <row r="18">
      <c r="A18" s="34" t="n">
        <v>8</v>
      </c>
      <c r="B18" s="34" t="inlineStr">
        <is>
          <t>7540101</t>
        </is>
      </c>
      <c r="C18" s="34" t="inlineStr">
        <is>
          <t>Công nghệ thực phẩm</t>
        </is>
      </c>
    </row>
    <row r="19">
      <c r="A19" s="34" t="n">
        <v>9</v>
      </c>
      <c r="B19" s="34" t="inlineStr">
        <is>
          <t>7580201</t>
        </is>
      </c>
      <c r="C19" s="34" t="inlineStr">
        <is>
          <t>Kỹ thuật xây dựng</t>
        </is>
      </c>
    </row>
    <row r="20">
      <c r="A20" s="34" t="n">
        <v>10</v>
      </c>
      <c r="B20" s="34" t="inlineStr">
        <is>
          <t>7620301</t>
        </is>
      </c>
      <c r="C20" s="34" t="inlineStr">
        <is>
          <t>Nuôi trồng thủy sản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qnu.edu.vn/" r:id="rId2"/>
    <hyperlink xmlns:r="http://schemas.openxmlformats.org/officeDocument/2006/relationships" ref="B6" display="https://tuyensinh.qn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8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Đà Lạt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Lâm Đồng</t>
        </is>
      </c>
    </row>
    <row r="4" ht="15" customHeight="1" s="35">
      <c r="A4" s="66" t="inlineStr">
        <is>
          <t>Tỉnh/TP (cũ):</t>
        </is>
      </c>
      <c r="B4" s="67" t="inlineStr">
        <is>
          <t>Lâm Đồng</t>
        </is>
      </c>
    </row>
    <row r="5" ht="15" customHeight="1" s="35">
      <c r="A5" s="66" t="inlineStr">
        <is>
          <t>Trang chủ:</t>
        </is>
      </c>
      <c r="B5" s="65" t="inlineStr">
        <is>
          <t>https://dlu.edu.vn/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https://tuyensinh.dlu.edu.vn/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các trang tuyển sinh DLU.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7140209</t>
        </is>
      </c>
      <c r="C11" s="34" t="inlineStr">
        <is>
          <t>Sư phạm Toán học</t>
        </is>
      </c>
    </row>
    <row r="12">
      <c r="A12" s="34" t="n">
        <v>2</v>
      </c>
      <c r="B12" s="34" t="inlineStr">
        <is>
          <t>7140210</t>
        </is>
      </c>
      <c r="C12" s="34" t="inlineStr">
        <is>
          <t>Sư phạm Tin học</t>
        </is>
      </c>
    </row>
    <row r="13">
      <c r="A13" s="34" t="n">
        <v>3</v>
      </c>
      <c r="B13" s="34" t="inlineStr">
        <is>
          <t>7140211</t>
        </is>
      </c>
      <c r="C13" s="34" t="inlineStr">
        <is>
          <t>Sư phạm Vật lý</t>
        </is>
      </c>
    </row>
    <row r="14">
      <c r="A14" s="34" t="n">
        <v>4</v>
      </c>
      <c r="B14" s="34" t="inlineStr">
        <is>
          <t>7140212</t>
        </is>
      </c>
      <c r="C14" s="34" t="inlineStr">
        <is>
          <t>Sư phạm Hóa học</t>
        </is>
      </c>
    </row>
    <row r="15">
      <c r="A15" s="34" t="n">
        <v>5</v>
      </c>
      <c r="B15" s="34" t="inlineStr">
        <is>
          <t>7140213</t>
        </is>
      </c>
      <c r="C15" s="34" t="inlineStr">
        <is>
          <t>Sư phạm Sinh học</t>
        </is>
      </c>
    </row>
    <row r="16">
      <c r="A16" s="34" t="n">
        <v>6</v>
      </c>
      <c r="B16" s="34" t="inlineStr">
        <is>
          <t>7140217</t>
        </is>
      </c>
      <c r="C16" s="34" t="inlineStr">
        <is>
          <t>Sư phạm Ngữ văn</t>
        </is>
      </c>
    </row>
    <row r="17">
      <c r="A17" s="34" t="n">
        <v>7</v>
      </c>
      <c r="B17" s="34" t="inlineStr">
        <is>
          <t>7140218</t>
        </is>
      </c>
      <c r="C17" s="34" t="inlineStr">
        <is>
          <t>Sư phạm Lịch sử</t>
        </is>
      </c>
    </row>
    <row r="18">
      <c r="A18" s="34" t="n">
        <v>8</v>
      </c>
      <c r="B18" s="34" t="inlineStr">
        <is>
          <t>7140231</t>
        </is>
      </c>
      <c r="C18" s="34" t="inlineStr">
        <is>
          <t>Sư phạm Tiếng Anh</t>
        </is>
      </c>
    </row>
    <row r="19">
      <c r="A19" s="34" t="n">
        <v>9</v>
      </c>
      <c r="B19" s="34" t="inlineStr">
        <is>
          <t>7140202</t>
        </is>
      </c>
      <c r="C19" s="34" t="inlineStr">
        <is>
          <t>Giáo dục Tiểu học</t>
        </is>
      </c>
    </row>
    <row r="20">
      <c r="A20" s="34" t="n">
        <v>10</v>
      </c>
      <c r="B20" s="34" t="inlineStr">
        <is>
          <t>7460101</t>
        </is>
      </c>
      <c r="C20" s="34" t="inlineStr">
        <is>
          <t>Toán học</t>
        </is>
      </c>
    </row>
    <row r="21">
      <c r="A21" s="34" t="n">
        <v>11</v>
      </c>
      <c r="B21" s="34" t="inlineStr">
        <is>
          <t>7460108</t>
        </is>
      </c>
      <c r="C21" s="34" t="inlineStr">
        <is>
          <t>Khoa học dữ liệu</t>
        </is>
      </c>
    </row>
    <row r="22">
      <c r="A22" s="34" t="n">
        <v>12</v>
      </c>
      <c r="B22" s="34" t="inlineStr">
        <is>
          <t>7480201</t>
        </is>
      </c>
      <c r="C22" s="34" t="inlineStr">
        <is>
          <t>Công nghệ thông tin</t>
        </is>
      </c>
    </row>
    <row r="23">
      <c r="A23" s="34" t="n">
        <v>13</v>
      </c>
      <c r="B23" s="34" t="inlineStr">
        <is>
          <t>7440102</t>
        </is>
      </c>
      <c r="C23" s="34" t="inlineStr">
        <is>
          <t>Vật lý học</t>
        </is>
      </c>
    </row>
    <row r="24">
      <c r="A24" s="34" t="n">
        <v>14</v>
      </c>
      <c r="B24" s="34" t="inlineStr">
        <is>
          <t>7510302</t>
        </is>
      </c>
      <c r="C24" s="34" t="inlineStr">
        <is>
          <t>Công nghệ kỹ thuật Điện tử - Viễn thông</t>
        </is>
      </c>
    </row>
    <row r="25">
      <c r="A25" s="34" t="n">
        <v>15</v>
      </c>
      <c r="B25" s="34" t="inlineStr">
        <is>
          <t>7520402</t>
        </is>
      </c>
      <c r="C25" s="34" t="inlineStr">
        <is>
          <t>Kỹ thuật hạt nhân</t>
        </is>
      </c>
    </row>
    <row r="26">
      <c r="A26" s="34" t="n">
        <v>16</v>
      </c>
      <c r="B26" s="34" t="inlineStr">
        <is>
          <t>7440112</t>
        </is>
      </c>
      <c r="C26" s="34" t="inlineStr">
        <is>
          <t>Hóa học</t>
        </is>
      </c>
    </row>
    <row r="27">
      <c r="A27" s="34" t="n">
        <v>17</v>
      </c>
      <c r="B27" s="34" t="inlineStr">
        <is>
          <t>7420201</t>
        </is>
      </c>
      <c r="C27" s="34" t="inlineStr">
        <is>
          <t>Công nghệ Sinh học</t>
        </is>
      </c>
    </row>
    <row r="28">
      <c r="A28" s="34" t="n">
        <v>18</v>
      </c>
      <c r="B28" s="34" t="inlineStr">
        <is>
          <t>7340101</t>
        </is>
      </c>
      <c r="C28" s="34" t="inlineStr">
        <is>
          <t>Quản trị kinh doanh</t>
        </is>
      </c>
    </row>
    <row r="29">
      <c r="A29" s="34" t="n">
        <v>19</v>
      </c>
      <c r="B29" s="34" t="inlineStr">
        <is>
          <t>7340301</t>
        </is>
      </c>
      <c r="C29" s="34" t="inlineStr">
        <is>
          <t>Kế toán</t>
        </is>
      </c>
    </row>
    <row r="30">
      <c r="A30" s="34" t="n">
        <v>20</v>
      </c>
      <c r="B30" s="34" t="inlineStr">
        <is>
          <t>7380101</t>
        </is>
      </c>
      <c r="C30" s="34" t="inlineStr">
        <is>
          <t>Luật</t>
        </is>
      </c>
    </row>
    <row r="31">
      <c r="A31" s="34" t="n">
        <v>21</v>
      </c>
      <c r="B31" s="34" t="inlineStr">
        <is>
          <t>7229030</t>
        </is>
      </c>
      <c r="C31" s="34" t="inlineStr">
        <is>
          <t>Văn học</t>
        </is>
      </c>
    </row>
    <row r="32">
      <c r="A32" s="34" t="n">
        <v>22</v>
      </c>
      <c r="B32" s="34" t="inlineStr">
        <is>
          <t>7810103</t>
        </is>
      </c>
      <c r="C32" s="34" t="inlineStr">
        <is>
          <t>Quản trị dịch vụ du lịch và lữ hành</t>
        </is>
      </c>
    </row>
    <row r="33">
      <c r="A33" s="34" t="n">
        <v>23</v>
      </c>
      <c r="B33" s="34" t="inlineStr">
        <is>
          <t>7220201</t>
        </is>
      </c>
      <c r="C33" s="34" t="inlineStr">
        <is>
          <t>Ngôn ngữ Anh</t>
        </is>
      </c>
    </row>
    <row r="34">
      <c r="A34" s="34" t="n">
        <v>24</v>
      </c>
      <c r="B34" s="34" t="inlineStr">
        <is>
          <t>7340201</t>
        </is>
      </c>
      <c r="C34" s="34" t="inlineStr">
        <is>
          <t>Tài chính - Ngân hàng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dlu.edu.vn/" r:id="rId2"/>
    <hyperlink xmlns:r="http://schemas.openxmlformats.org/officeDocument/2006/relationships" ref="B6" display="https://tuyensinh.dl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9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D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Tây Nguyên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Trung</t>
        </is>
      </c>
    </row>
    <row r="3" ht="15" customHeight="1" s="35">
      <c r="A3" s="66" t="inlineStr">
        <is>
          <t>Tỉnh/TP (mới):</t>
        </is>
      </c>
      <c r="B3" s="67" t="inlineStr">
        <is>
          <t>Đắk Lắk</t>
        </is>
      </c>
    </row>
    <row r="4" ht="15" customHeight="1" s="35">
      <c r="A4" s="66" t="inlineStr">
        <is>
          <t>Tỉnh/TP (cũ):</t>
        </is>
      </c>
      <c r="B4" s="67" t="inlineStr">
        <is>
          <t>Đắk Lắk</t>
        </is>
      </c>
    </row>
    <row r="5" ht="15" customHeight="1" s="35">
      <c r="A5" s="66" t="inlineStr">
        <is>
          <t>Trang chủ:</t>
        </is>
      </c>
      <c r="B5" s="65" t="inlineStr">
        <is>
          <t>https://ttn.edu.vn/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https://tuyensinh.ttn.edu.vn/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2025. Nguồn: các trang tuyển sinh.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7720101</t>
        </is>
      </c>
      <c r="C11" s="34" t="inlineStr">
        <is>
          <t>Y khoa</t>
        </is>
      </c>
    </row>
    <row r="12">
      <c r="A12" s="34" t="n">
        <v>2</v>
      </c>
      <c r="B12" s="34" t="inlineStr">
        <is>
          <t>7720301</t>
        </is>
      </c>
      <c r="C12" s="34" t="inlineStr">
        <is>
          <t>Điều dưỡng</t>
        </is>
      </c>
    </row>
    <row r="13">
      <c r="A13" s="34" t="n">
        <v>3</v>
      </c>
      <c r="B13" s="34" t="inlineStr">
        <is>
          <t>7720601</t>
        </is>
      </c>
      <c r="C13" s="34" t="inlineStr">
        <is>
          <t>Kỹ thuật xét nghiệm y học</t>
        </is>
      </c>
    </row>
    <row r="14">
      <c r="A14" s="34" t="n">
        <v>4</v>
      </c>
      <c r="B14" s="34" t="inlineStr">
        <is>
          <t>7140201</t>
        </is>
      </c>
      <c r="C14" s="34" t="inlineStr">
        <is>
          <t>Giáo dục Mầm non</t>
        </is>
      </c>
    </row>
    <row r="15">
      <c r="A15" s="34" t="n">
        <v>5</v>
      </c>
      <c r="B15" s="34" t="inlineStr">
        <is>
          <t>7140202</t>
        </is>
      </c>
      <c r="C15" s="34" t="inlineStr">
        <is>
          <t>Giáo dục Tiểu học</t>
        </is>
      </c>
    </row>
    <row r="16">
      <c r="A16" s="34" t="n">
        <v>6</v>
      </c>
      <c r="B16" s="34" t="inlineStr">
        <is>
          <t>7140209</t>
        </is>
      </c>
      <c r="C16" s="34" t="inlineStr">
        <is>
          <t>Sư phạm Toán học</t>
        </is>
      </c>
    </row>
    <row r="17">
      <c r="A17" s="34" t="n">
        <v>7</v>
      </c>
      <c r="B17" s="34" t="inlineStr">
        <is>
          <t>7140211</t>
        </is>
      </c>
      <c r="C17" s="34" t="inlineStr">
        <is>
          <t>Sư phạm Vật lý</t>
        </is>
      </c>
    </row>
    <row r="18">
      <c r="A18" s="34" t="n">
        <v>8</v>
      </c>
      <c r="B18" s="34" t="inlineStr">
        <is>
          <t>7140212</t>
        </is>
      </c>
      <c r="C18" s="34" t="inlineStr">
        <is>
          <t>Sư phạm Hóa học</t>
        </is>
      </c>
    </row>
    <row r="19">
      <c r="A19" s="34" t="n">
        <v>9</v>
      </c>
      <c r="B19" s="34" t="inlineStr">
        <is>
          <t>7140213</t>
        </is>
      </c>
      <c r="C19" s="34" t="inlineStr">
        <is>
          <t>Sư phạm Sinh học</t>
        </is>
      </c>
    </row>
    <row r="20">
      <c r="A20" s="34" t="n">
        <v>10</v>
      </c>
      <c r="B20" s="34" t="inlineStr">
        <is>
          <t>7140217</t>
        </is>
      </c>
      <c r="C20" s="34" t="inlineStr">
        <is>
          <t>Sư phạm Ngữ văn</t>
        </is>
      </c>
    </row>
    <row r="21">
      <c r="A21" s="34" t="n">
        <v>11</v>
      </c>
      <c r="B21" s="34" t="inlineStr">
        <is>
          <t>7140231</t>
        </is>
      </c>
      <c r="C21" s="34" t="inlineStr">
        <is>
          <t>Sư phạm Tiếng Anh</t>
        </is>
      </c>
    </row>
    <row r="22">
      <c r="A22" s="34" t="n">
        <v>12</v>
      </c>
      <c r="B22" s="34" t="inlineStr">
        <is>
          <t>7220201</t>
        </is>
      </c>
      <c r="C22" s="34" t="inlineStr">
        <is>
          <t>Ngôn ngữ Anh</t>
        </is>
      </c>
    </row>
    <row r="23">
      <c r="A23" s="34" t="n">
        <v>13</v>
      </c>
      <c r="B23" s="34" t="inlineStr">
        <is>
          <t>7310101</t>
        </is>
      </c>
      <c r="C23" s="34" t="inlineStr">
        <is>
          <t>Kinh tế</t>
        </is>
      </c>
    </row>
    <row r="24">
      <c r="A24" s="34" t="n">
        <v>14</v>
      </c>
      <c r="B24" s="34" t="inlineStr">
        <is>
          <t>7340101</t>
        </is>
      </c>
      <c r="C24" s="34" t="inlineStr">
        <is>
          <t>Quản trị kinh doanh</t>
        </is>
      </c>
    </row>
    <row r="25">
      <c r="A25" s="34" t="n">
        <v>15</v>
      </c>
      <c r="B25" s="34" t="inlineStr">
        <is>
          <t>7340201</t>
        </is>
      </c>
      <c r="C25" s="34" t="inlineStr">
        <is>
          <t>Tài chính – Ngân hàng</t>
        </is>
      </c>
    </row>
    <row r="26">
      <c r="A26" s="34" t="n">
        <v>16</v>
      </c>
      <c r="B26" s="34" t="inlineStr">
        <is>
          <t>7340301</t>
        </is>
      </c>
      <c r="C26" s="34" t="inlineStr">
        <is>
          <t>Kế toán</t>
        </is>
      </c>
    </row>
    <row r="27">
      <c r="A27" s="34" t="n">
        <v>17</v>
      </c>
      <c r="B27" s="34" t="inlineStr">
        <is>
          <t>7420201</t>
        </is>
      </c>
      <c r="C27" s="34" t="inlineStr">
        <is>
          <t>Công nghệ sinh học</t>
        </is>
      </c>
    </row>
    <row r="28">
      <c r="A28" s="34" t="n">
        <v>18</v>
      </c>
      <c r="B28" s="34" t="inlineStr">
        <is>
          <t>7480201</t>
        </is>
      </c>
      <c r="C28" s="34" t="inlineStr">
        <is>
          <t>Công nghệ thông tin</t>
        </is>
      </c>
    </row>
    <row r="29">
      <c r="A29" s="34" t="n">
        <v>19</v>
      </c>
      <c r="B29" s="34" t="inlineStr">
        <is>
          <t>7540101</t>
        </is>
      </c>
      <c r="C29" s="34" t="inlineStr">
        <is>
          <t>Công nghệ thực phẩm</t>
        </is>
      </c>
    </row>
    <row r="30">
      <c r="A30" s="34" t="n">
        <v>20</v>
      </c>
      <c r="B30" s="34" t="inlineStr">
        <is>
          <t>7620105</t>
        </is>
      </c>
      <c r="C30" s="34" t="inlineStr">
        <is>
          <t>Chăn nuôi</t>
        </is>
      </c>
    </row>
    <row r="31">
      <c r="A31" s="34" t="n">
        <v>21</v>
      </c>
      <c r="B31" s="34" t="inlineStr">
        <is>
          <t>7620110</t>
        </is>
      </c>
      <c r="C31" s="34" t="inlineStr">
        <is>
          <t>Khoa học cây trồng</t>
        </is>
      </c>
    </row>
    <row r="32">
      <c r="A32" s="34" t="n">
        <v>22</v>
      </c>
      <c r="B32" s="34" t="inlineStr">
        <is>
          <t>7640101</t>
        </is>
      </c>
      <c r="C32" s="34" t="inlineStr">
        <is>
          <t>Thú y</t>
        </is>
      </c>
    </row>
    <row r="33">
      <c r="A33" s="34" t="n">
        <v>23</v>
      </c>
      <c r="B33" s="34" t="inlineStr">
        <is>
          <t>7850103</t>
        </is>
      </c>
      <c r="C33" s="34" t="inlineStr">
        <is>
          <t>Quản lý đất đai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ttn.edu.vn/" r:id="rId2"/>
    <hyperlink xmlns:r="http://schemas.openxmlformats.org/officeDocument/2006/relationships" ref="B6" display="https://tuyensinh.ttn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0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Bách khoa - ĐHQG TP.HCM (HCMUT)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https://hcmut.edu.vn/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https://tuyensinh.hcmut.edu.vn/ hoặc https://mybk.hcmut.edu.vn/tuyensinh/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các trang tuyển sinh HCMUT.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7480101</t>
        </is>
      </c>
      <c r="C11" s="34" t="inlineStr">
        <is>
          <t>Khoa học Máy tính</t>
        </is>
      </c>
    </row>
    <row r="12">
      <c r="A12" s="34" t="n">
        <v>2</v>
      </c>
      <c r="B12" s="34" t="inlineStr">
        <is>
          <t>7480106</t>
        </is>
      </c>
      <c r="C12" s="34" t="inlineStr">
        <is>
          <t>Kỹ thuật Máy tính</t>
        </is>
      </c>
    </row>
    <row r="13">
      <c r="A13" s="34" t="n">
        <v>3</v>
      </c>
      <c r="B13" s="34" t="inlineStr">
        <is>
          <t>7520201</t>
        </is>
      </c>
      <c r="C13" s="34" t="inlineStr">
        <is>
          <t>Kỹ thuật Điện</t>
        </is>
      </c>
    </row>
    <row r="14">
      <c r="A14" s="34" t="n">
        <v>4</v>
      </c>
      <c r="B14" s="34" t="inlineStr">
        <is>
          <t>7520207</t>
        </is>
      </c>
      <c r="C14" s="34" t="inlineStr">
        <is>
          <t>Kỹ thuật Điện tử – Viễn thông</t>
        </is>
      </c>
    </row>
    <row r="15">
      <c r="A15" s="34" t="n">
        <v>5</v>
      </c>
      <c r="B15" s="34" t="inlineStr">
        <is>
          <t>7520216</t>
        </is>
      </c>
      <c r="C15" s="34" t="inlineStr">
        <is>
          <t>Kỹ thuật Điều khiển và Tự động hóa</t>
        </is>
      </c>
    </row>
    <row r="16">
      <c r="A16" s="34" t="n">
        <v>6</v>
      </c>
      <c r="B16" s="34" t="inlineStr">
        <is>
          <t>7520103</t>
        </is>
      </c>
      <c r="C16" s="34" t="inlineStr">
        <is>
          <t>Kỹ thuật Cơ khí</t>
        </is>
      </c>
    </row>
    <row r="17">
      <c r="A17" s="34" t="n">
        <v>7</v>
      </c>
      <c r="B17" s="34" t="inlineStr">
        <is>
          <t>7520114</t>
        </is>
      </c>
      <c r="C17" s="34" t="inlineStr">
        <is>
          <t>Kỹ thuật Cơ Điện tử</t>
        </is>
      </c>
    </row>
    <row r="18">
      <c r="A18" s="34" t="n">
        <v>8</v>
      </c>
      <c r="B18" s="34" t="inlineStr">
        <is>
          <t>7520107</t>
        </is>
      </c>
      <c r="C18" s="34" t="inlineStr">
        <is>
          <t>Kỹ thuật Robot</t>
        </is>
      </c>
    </row>
    <row r="19">
      <c r="A19" s="34" t="n">
        <v>9</v>
      </c>
      <c r="B19" s="34" t="inlineStr">
        <is>
          <t>7540101</t>
        </is>
      </c>
      <c r="C19" s="34" t="inlineStr">
        <is>
          <t>Công nghệ Thực phẩm</t>
        </is>
      </c>
    </row>
    <row r="20">
      <c r="A20" s="34" t="n">
        <v>10</v>
      </c>
      <c r="B20" s="34" t="inlineStr">
        <is>
          <t>7420201</t>
        </is>
      </c>
      <c r="C20" s="34" t="inlineStr">
        <is>
          <t>Công nghệ Sinh học</t>
        </is>
      </c>
    </row>
    <row r="21">
      <c r="A21" s="34" t="n">
        <v>11</v>
      </c>
      <c r="B21" s="34" t="inlineStr">
        <is>
          <t>7520301</t>
        </is>
      </c>
      <c r="C21" s="34" t="inlineStr">
        <is>
          <t>Kỹ thuật Hóa học</t>
        </is>
      </c>
    </row>
    <row r="22">
      <c r="A22" s="34" t="n">
        <v>12</v>
      </c>
      <c r="B22" s="34" t="inlineStr">
        <is>
          <t>7580201</t>
        </is>
      </c>
      <c r="C22" s="34" t="inlineStr">
        <is>
          <t>Kỹ thuật Xây dựng</t>
        </is>
      </c>
    </row>
    <row r="23">
      <c r="A23" s="34" t="n">
        <v>13</v>
      </c>
      <c r="B23" s="34" t="inlineStr">
        <is>
          <t>7580101</t>
        </is>
      </c>
      <c r="C23" s="34" t="inlineStr">
        <is>
          <t>Kiến trúc</t>
        </is>
      </c>
    </row>
    <row r="24">
      <c r="A24" s="34" t="n">
        <v>14</v>
      </c>
      <c r="B24" s="34" t="inlineStr">
        <is>
          <t>7520130</t>
        </is>
      </c>
      <c r="C24" s="34" t="inlineStr">
        <is>
          <t>Kỹ thuật Ô tô</t>
        </is>
      </c>
    </row>
    <row r="25">
      <c r="A25" s="34" t="n">
        <v>15</v>
      </c>
      <c r="B25" s="34" t="inlineStr">
        <is>
          <t>7520120</t>
        </is>
      </c>
      <c r="C25" s="34" t="inlineStr">
        <is>
          <t>Kỹ thuật Hàng không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cmut.edu.vn/" r:id="rId2"/>
    <hyperlink xmlns:r="http://schemas.openxmlformats.org/officeDocument/2006/relationships" ref="B6" display="https://tuyensinh.hcmut.edu.vn/ hoặc https://mybk.hcmut.edu.vn/tuyensinh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1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Khoa học Tự nhiên - ĐHQG TP.HCM (HCMUS)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https://hcmus.edu.vn/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https://tuyensinh.hcmus.edu.vn/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tuyensinh.hcmus.edu.vn.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7420101</t>
        </is>
      </c>
      <c r="C11" s="34" t="inlineStr">
        <is>
          <t>Sinh học</t>
        </is>
      </c>
    </row>
    <row r="12">
      <c r="A12" s="34" t="n">
        <v>2</v>
      </c>
      <c r="B12" s="34" t="inlineStr">
        <is>
          <t>7420201</t>
        </is>
      </c>
      <c r="C12" s="34" t="inlineStr">
        <is>
          <t>Công nghệ Sinh học</t>
        </is>
      </c>
    </row>
    <row r="13">
      <c r="A13" s="34" t="n">
        <v>3</v>
      </c>
      <c r="B13" s="34" t="inlineStr">
        <is>
          <t>7440102</t>
        </is>
      </c>
      <c r="C13" s="34" t="inlineStr">
        <is>
          <t>Vật lý học</t>
        </is>
      </c>
    </row>
    <row r="14">
      <c r="A14" s="34" t="n">
        <v>4</v>
      </c>
      <c r="B14" s="34" t="inlineStr">
        <is>
          <t>7440112</t>
        </is>
      </c>
      <c r="C14" s="34" t="inlineStr">
        <is>
          <t>Hóa học</t>
        </is>
      </c>
    </row>
    <row r="15">
      <c r="A15" s="34" t="n">
        <v>5</v>
      </c>
      <c r="B15" s="34" t="inlineStr">
        <is>
          <t>7440122</t>
        </is>
      </c>
      <c r="C15" s="34" t="inlineStr">
        <is>
          <t>Khoa học Vật liệu</t>
        </is>
      </c>
    </row>
    <row r="16">
      <c r="A16" s="34" t="n">
        <v>6</v>
      </c>
      <c r="B16" s="34" t="inlineStr">
        <is>
          <t>7480101</t>
        </is>
      </c>
      <c r="C16" s="34" t="inlineStr">
        <is>
          <t>Khoa học máy tính</t>
        </is>
      </c>
    </row>
    <row r="17">
      <c r="A17" s="34" t="n">
        <v>7</v>
      </c>
      <c r="B17" s="34" t="inlineStr">
        <is>
          <t>7480107</t>
        </is>
      </c>
      <c r="C17" s="34" t="inlineStr">
        <is>
          <t>Trí tuệ nhân tạo</t>
        </is>
      </c>
    </row>
    <row r="18">
      <c r="A18" s="34" t="n">
        <v>8</v>
      </c>
      <c r="B18" s="34" t="inlineStr">
        <is>
          <t>7480201</t>
        </is>
      </c>
      <c r="C18" s="34" t="inlineStr">
        <is>
          <t>Công nghệ thông tin</t>
        </is>
      </c>
    </row>
    <row r="19">
      <c r="A19" s="34" t="n">
        <v>9</v>
      </c>
      <c r="B19" s="34" t="inlineStr">
        <is>
          <t>7460108</t>
        </is>
      </c>
      <c r="C19" s="34" t="inlineStr">
        <is>
          <t>Khoa học dữ liệu</t>
        </is>
      </c>
    </row>
    <row r="20">
      <c r="A20" s="34" t="n">
        <v>10</v>
      </c>
      <c r="B20" s="34" t="inlineStr">
        <is>
          <t>7460112</t>
        </is>
      </c>
      <c r="C20" s="34" t="inlineStr">
        <is>
          <t>Toán ứng dụng</t>
        </is>
      </c>
    </row>
    <row r="21">
      <c r="A21" s="34" t="n">
        <v>11</v>
      </c>
      <c r="B21" s="34" t="inlineStr">
        <is>
          <t>7440301</t>
        </is>
      </c>
      <c r="C21" s="34" t="inlineStr">
        <is>
          <t>Khoa học Môi trường</t>
        </is>
      </c>
    </row>
    <row r="22">
      <c r="A22" s="34" t="n">
        <v>12</v>
      </c>
      <c r="B22" s="34" t="inlineStr">
        <is>
          <t>7520401</t>
        </is>
      </c>
      <c r="C22" s="34" t="inlineStr">
        <is>
          <t>Công nghệ bán dẫn / Vật lý kỹ thuật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cmus.edu.vn/" r:id="rId2"/>
    <hyperlink xmlns:r="http://schemas.openxmlformats.org/officeDocument/2006/relationships" ref="B6" display="https://tuyensinh.hcmus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2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Công nghệ Thông tin - ĐHQG TP.HCM (UIT)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https://uit.edu.vn/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https://tuyensinh.uit.edu.vn/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các trang tuyển sinh UIT.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7480101</t>
        </is>
      </c>
      <c r="C11" s="34" t="inlineStr">
        <is>
          <t>Khoa học máy tính</t>
        </is>
      </c>
    </row>
    <row r="12">
      <c r="A12" s="34" t="n">
        <v>2</v>
      </c>
      <c r="B12" s="34" t="inlineStr">
        <is>
          <t>7480107</t>
        </is>
      </c>
      <c r="C12" s="34" t="inlineStr">
        <is>
          <t>Trí tuệ nhân tạo</t>
        </is>
      </c>
    </row>
    <row r="13">
      <c r="A13" s="34" t="n">
        <v>3</v>
      </c>
      <c r="B13" s="34" t="inlineStr">
        <is>
          <t>7480102</t>
        </is>
      </c>
      <c r="C13" s="34" t="inlineStr">
        <is>
          <t>Mạng máy tính và Truyền thông dữ liệu</t>
        </is>
      </c>
    </row>
    <row r="14">
      <c r="A14" s="34" t="n">
        <v>4</v>
      </c>
      <c r="B14" s="34" t="inlineStr">
        <is>
          <t>7480103</t>
        </is>
      </c>
      <c r="C14" s="34" t="inlineStr">
        <is>
          <t>Kỹ thuật phần mềm</t>
        </is>
      </c>
    </row>
    <row r="15">
      <c r="A15" s="34" t="n">
        <v>5</v>
      </c>
      <c r="B15" s="34" t="inlineStr">
        <is>
          <t>7480104</t>
        </is>
      </c>
      <c r="C15" s="34" t="inlineStr">
        <is>
          <t>Hệ thống thông tin</t>
        </is>
      </c>
    </row>
    <row r="16">
      <c r="A16" s="34" t="n">
        <v>6</v>
      </c>
      <c r="B16" s="34" t="inlineStr">
        <is>
          <t>7340122</t>
        </is>
      </c>
      <c r="C16" s="34" t="inlineStr">
        <is>
          <t>Thương mại điện tử</t>
        </is>
      </c>
    </row>
    <row r="17">
      <c r="A17" s="34" t="n">
        <v>7</v>
      </c>
      <c r="B17" s="34" t="inlineStr">
        <is>
          <t>7480201</t>
        </is>
      </c>
      <c r="C17" s="34" t="inlineStr">
        <is>
          <t>Công nghệ thông tin</t>
        </is>
      </c>
    </row>
    <row r="18">
      <c r="A18" s="34" t="n">
        <v>8</v>
      </c>
      <c r="B18" s="34" t="inlineStr">
        <is>
          <t>7460108</t>
        </is>
      </c>
      <c r="C18" s="34" t="inlineStr">
        <is>
          <t>Khoa học dữ liệu</t>
        </is>
      </c>
    </row>
    <row r="19">
      <c r="A19" s="34" t="n">
        <v>9</v>
      </c>
      <c r="B19" s="34" t="inlineStr">
        <is>
          <t>7480202</t>
        </is>
      </c>
      <c r="C19" s="34" t="inlineStr">
        <is>
          <t>An toàn thông tin</t>
        </is>
      </c>
    </row>
    <row r="20">
      <c r="A20" s="34" t="n">
        <v>10</v>
      </c>
      <c r="B20" s="34" t="inlineStr">
        <is>
          <t>7480106</t>
        </is>
      </c>
      <c r="C20" s="34" t="inlineStr">
        <is>
          <t>Kỹ thuật máy tính</t>
        </is>
      </c>
    </row>
    <row r="21">
      <c r="A21" s="34" t="n">
        <v>11</v>
      </c>
      <c r="B21" s="34" t="inlineStr">
        <is>
          <t>7480105</t>
        </is>
      </c>
      <c r="C21" s="34" t="inlineStr">
        <is>
          <t>Thiết kế vi mạch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uit.edu.vn/" r:id="rId2"/>
    <hyperlink xmlns:r="http://schemas.openxmlformats.org/officeDocument/2006/relationships" ref="B6" display="https://tuyensinh.uit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3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Kinh tế - Luật - ĐHQG TP.HCM (UEL)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https://uel.edu.vn/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https://tuyensinh.uel.edu.vn/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2025-2026. Nguồn: các trang tuyển sinh UEL.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7310101</t>
        </is>
      </c>
      <c r="C11" s="34" t="inlineStr">
        <is>
          <t>Kinh tế</t>
        </is>
      </c>
    </row>
    <row r="12">
      <c r="A12" s="34" t="n">
        <v>2</v>
      </c>
      <c r="B12" s="34" t="inlineStr">
        <is>
          <t>7310106</t>
        </is>
      </c>
      <c r="C12" s="34" t="inlineStr">
        <is>
          <t>Kinh tế quốc tế</t>
        </is>
      </c>
    </row>
    <row r="13">
      <c r="A13" s="34" t="n">
        <v>3</v>
      </c>
      <c r="B13" s="34" t="inlineStr">
        <is>
          <t>7340101</t>
        </is>
      </c>
      <c r="C13" s="34" t="inlineStr">
        <is>
          <t>Quản trị kinh doanh</t>
        </is>
      </c>
    </row>
    <row r="14">
      <c r="A14" s="34" t="n">
        <v>4</v>
      </c>
      <c r="B14" s="34" t="inlineStr">
        <is>
          <t>7340115</t>
        </is>
      </c>
      <c r="C14" s="34" t="inlineStr">
        <is>
          <t>Marketing</t>
        </is>
      </c>
    </row>
    <row r="15">
      <c r="A15" s="34" t="n">
        <v>5</v>
      </c>
      <c r="B15" s="34" t="inlineStr">
        <is>
          <t>7340120</t>
        </is>
      </c>
      <c r="C15" s="34" t="inlineStr">
        <is>
          <t>Kinh doanh quốc tế</t>
        </is>
      </c>
    </row>
    <row r="16">
      <c r="A16" s="34" t="n">
        <v>6</v>
      </c>
      <c r="B16" s="34" t="inlineStr">
        <is>
          <t>7340122</t>
        </is>
      </c>
      <c r="C16" s="34" t="inlineStr">
        <is>
          <t>Thương mại điện tử</t>
        </is>
      </c>
    </row>
    <row r="17">
      <c r="A17" s="34" t="n">
        <v>7</v>
      </c>
      <c r="B17" s="34" t="inlineStr">
        <is>
          <t>7340201</t>
        </is>
      </c>
      <c r="C17" s="34" t="inlineStr">
        <is>
          <t>Tài chính – Ngân hàng</t>
        </is>
      </c>
    </row>
    <row r="18">
      <c r="A18" s="34" t="n">
        <v>8</v>
      </c>
      <c r="B18" s="34" t="inlineStr">
        <is>
          <t>7340205</t>
        </is>
      </c>
      <c r="C18" s="34" t="inlineStr">
        <is>
          <t>Công nghệ tài chính</t>
        </is>
      </c>
    </row>
    <row r="19">
      <c r="A19" s="34" t="n">
        <v>9</v>
      </c>
      <c r="B19" s="34" t="inlineStr">
        <is>
          <t>7340301</t>
        </is>
      </c>
      <c r="C19" s="34" t="inlineStr">
        <is>
          <t>Kế toán</t>
        </is>
      </c>
    </row>
    <row r="20">
      <c r="A20" s="34" t="n">
        <v>10</v>
      </c>
      <c r="B20" s="34" t="inlineStr">
        <is>
          <t>7340302</t>
        </is>
      </c>
      <c r="C20" s="34" t="inlineStr">
        <is>
          <t>Kiểm toán</t>
        </is>
      </c>
    </row>
    <row r="21">
      <c r="A21" s="34" t="n">
        <v>11</v>
      </c>
      <c r="B21" s="34" t="inlineStr">
        <is>
          <t>7340405</t>
        </is>
      </c>
      <c r="C21" s="34" t="inlineStr">
        <is>
          <t>Hệ thống thông tin quản lý</t>
        </is>
      </c>
    </row>
    <row r="22">
      <c r="A22" s="34" t="n">
        <v>12</v>
      </c>
      <c r="B22" s="34" t="inlineStr">
        <is>
          <t>7380107</t>
        </is>
      </c>
      <c r="C22" s="34" t="inlineStr">
        <is>
          <t>Luật kinh tế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uel.edu.vn/" r:id="rId2"/>
    <hyperlink xmlns:r="http://schemas.openxmlformats.org/officeDocument/2006/relationships" ref="B6" display="https://tuyensinh.uel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4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Quốc tế - ĐHQG TP.HCM (IU)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https://hcmiu.edu.vn/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https://tuyensinh.hcmiu.edu.vn/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2025-2026. Nguồn: các trang tuyển sinh IU.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7220201</t>
        </is>
      </c>
      <c r="C11" s="34" t="inlineStr">
        <is>
          <t>Ngôn ngữ Anh</t>
        </is>
      </c>
    </row>
    <row r="12">
      <c r="A12" s="34" t="n">
        <v>2</v>
      </c>
      <c r="B12" s="34" t="inlineStr">
        <is>
          <t>7340101</t>
        </is>
      </c>
      <c r="C12" s="34" t="inlineStr">
        <is>
          <t>Quản trị kinh doanh</t>
        </is>
      </c>
    </row>
    <row r="13">
      <c r="A13" s="34" t="n">
        <v>3</v>
      </c>
      <c r="B13" s="34" t="inlineStr">
        <is>
          <t>7340115</t>
        </is>
      </c>
      <c r="C13" s="34" t="inlineStr">
        <is>
          <t>Marketing</t>
        </is>
      </c>
    </row>
    <row r="14">
      <c r="A14" s="34" t="n">
        <v>4</v>
      </c>
      <c r="B14" s="34" t="inlineStr">
        <is>
          <t>7340201</t>
        </is>
      </c>
      <c r="C14" s="34" t="inlineStr">
        <is>
          <t>Tài chính – Ngân hàng</t>
        </is>
      </c>
    </row>
    <row r="15">
      <c r="A15" s="34" t="n">
        <v>5</v>
      </c>
      <c r="B15" s="34" t="inlineStr">
        <is>
          <t>7340301</t>
        </is>
      </c>
      <c r="C15" s="34" t="inlineStr">
        <is>
          <t>Kế toán</t>
        </is>
      </c>
    </row>
    <row r="16">
      <c r="A16" s="34" t="n">
        <v>6</v>
      </c>
      <c r="B16" s="34" t="inlineStr">
        <is>
          <t>7310101</t>
        </is>
      </c>
      <c r="C16" s="34" t="inlineStr">
        <is>
          <t>Kinh tế</t>
        </is>
      </c>
    </row>
    <row r="17">
      <c r="A17" s="34" t="n">
        <v>7</v>
      </c>
      <c r="B17" s="34" t="inlineStr">
        <is>
          <t>7480201</t>
        </is>
      </c>
      <c r="C17" s="34" t="inlineStr">
        <is>
          <t>Công nghệ thông tin</t>
        </is>
      </c>
    </row>
    <row r="18">
      <c r="A18" s="34" t="n">
        <v>8</v>
      </c>
      <c r="B18" s="34" t="inlineStr">
        <is>
          <t>7480101</t>
        </is>
      </c>
      <c r="C18" s="34" t="inlineStr">
        <is>
          <t>Khoa học máy tính</t>
        </is>
      </c>
    </row>
    <row r="19">
      <c r="A19" s="34" t="n">
        <v>9</v>
      </c>
      <c r="B19" s="34" t="inlineStr">
        <is>
          <t>7460108</t>
        </is>
      </c>
      <c r="C19" s="34" t="inlineStr">
        <is>
          <t>Khoa học dữ liệu</t>
        </is>
      </c>
    </row>
    <row r="20">
      <c r="A20" s="34" t="n">
        <v>10</v>
      </c>
      <c r="B20" s="34" t="inlineStr">
        <is>
          <t>7420201</t>
        </is>
      </c>
      <c r="C20" s="34" t="inlineStr">
        <is>
          <t>Công nghệ sinh học</t>
        </is>
      </c>
    </row>
    <row r="21">
      <c r="A21" s="34" t="n">
        <v>11</v>
      </c>
      <c r="B21" s="34" t="inlineStr">
        <is>
          <t>7540101</t>
        </is>
      </c>
      <c r="C21" s="34" t="inlineStr">
        <is>
          <t>Công nghệ thực phẩm</t>
        </is>
      </c>
    </row>
    <row r="22">
      <c r="A22" s="34" t="n">
        <v>12</v>
      </c>
      <c r="B22" s="34" t="inlineStr">
        <is>
          <t>7520207</t>
        </is>
      </c>
      <c r="C22" s="34" t="inlineStr">
        <is>
          <t>Kỹ thuật điện tử – viễn thông</t>
        </is>
      </c>
    </row>
    <row r="23">
      <c r="A23" s="34" t="n">
        <v>13</v>
      </c>
      <c r="B23" s="34" t="inlineStr">
        <is>
          <t>7580201</t>
        </is>
      </c>
      <c r="C23" s="34" t="inlineStr">
        <is>
          <t>Kỹ thuật xây dựng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cmiu.edu.vn/" r:id="rId2"/>
    <hyperlink xmlns:r="http://schemas.openxmlformats.org/officeDocument/2006/relationships" ref="B6" display="https://tuyensinh.hcmi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5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Khoa học Xã hội và Nhân văn - ĐHQG TP.HCM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https://hcmussh.edu.vn/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https://tuyensinh.hcmussh.edu.vn/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các trang tuyển sinh USSH.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7140101</t>
        </is>
      </c>
      <c r="C11" s="34" t="inlineStr">
        <is>
          <t>Giáo dục học</t>
        </is>
      </c>
    </row>
    <row r="12">
      <c r="A12" s="34" t="n">
        <v>2</v>
      </c>
      <c r="B12" s="34" t="inlineStr">
        <is>
          <t>7140114</t>
        </is>
      </c>
      <c r="C12" s="34" t="inlineStr">
        <is>
          <t>Quản lý giáo dục</t>
        </is>
      </c>
    </row>
    <row r="13">
      <c r="A13" s="34" t="n">
        <v>3</v>
      </c>
      <c r="B13" s="34" t="inlineStr">
        <is>
          <t>7210213</t>
        </is>
      </c>
      <c r="C13" s="34" t="inlineStr">
        <is>
          <t>Nghệ thuật học</t>
        </is>
      </c>
    </row>
    <row r="14">
      <c r="A14" s="34" t="n">
        <v>4</v>
      </c>
      <c r="B14" s="34" t="inlineStr">
        <is>
          <t>7220201</t>
        </is>
      </c>
      <c r="C14" s="34" t="inlineStr">
        <is>
          <t>Ngôn ngữ Anh</t>
        </is>
      </c>
    </row>
    <row r="15">
      <c r="A15" s="34" t="n">
        <v>5</v>
      </c>
      <c r="B15" s="34" t="inlineStr">
        <is>
          <t>7220202</t>
        </is>
      </c>
      <c r="C15" s="34" t="inlineStr">
        <is>
          <t>Ngôn ngữ Nga</t>
        </is>
      </c>
    </row>
    <row r="16">
      <c r="A16" s="34" t="n">
        <v>6</v>
      </c>
      <c r="B16" s="34" t="inlineStr">
        <is>
          <t>7220203</t>
        </is>
      </c>
      <c r="C16" s="34" t="inlineStr">
        <is>
          <t>Ngôn ngữ Pháp</t>
        </is>
      </c>
    </row>
    <row r="17">
      <c r="A17" s="34" t="n">
        <v>7</v>
      </c>
      <c r="B17" s="34" t="inlineStr">
        <is>
          <t>7220204</t>
        </is>
      </c>
      <c r="C17" s="34" t="inlineStr">
        <is>
          <t>Ngôn ngữ Trung Quốc</t>
        </is>
      </c>
    </row>
    <row r="18">
      <c r="A18" s="34" t="n">
        <v>8</v>
      </c>
      <c r="B18" s="34" t="inlineStr">
        <is>
          <t>7229001</t>
        </is>
      </c>
      <c r="C18" s="34" t="inlineStr">
        <is>
          <t>Triết học</t>
        </is>
      </c>
    </row>
    <row r="19">
      <c r="A19" s="34" t="n">
        <v>9</v>
      </c>
      <c r="B19" s="34" t="inlineStr">
        <is>
          <t>7229010</t>
        </is>
      </c>
      <c r="C19" s="34" t="inlineStr">
        <is>
          <t>Lịch sử</t>
        </is>
      </c>
    </row>
    <row r="20">
      <c r="A20" s="34" t="n">
        <v>10</v>
      </c>
      <c r="B20" s="34" t="inlineStr">
        <is>
          <t>7229020</t>
        </is>
      </c>
      <c r="C20" s="34" t="inlineStr">
        <is>
          <t>Ngôn ngữ học</t>
        </is>
      </c>
    </row>
    <row r="21">
      <c r="A21" s="34" t="n">
        <v>11</v>
      </c>
      <c r="B21" s="34" t="inlineStr">
        <is>
          <t>7229030</t>
        </is>
      </c>
      <c r="C21" s="34" t="inlineStr">
        <is>
          <t>Văn học</t>
        </is>
      </c>
    </row>
    <row r="22">
      <c r="A22" s="34" t="n">
        <v>12</v>
      </c>
      <c r="B22" s="34" t="inlineStr">
        <is>
          <t>7229040</t>
        </is>
      </c>
      <c r="C22" s="34" t="inlineStr">
        <is>
          <t>Văn hoá học</t>
        </is>
      </c>
    </row>
    <row r="23">
      <c r="A23" s="34" t="n">
        <v>13</v>
      </c>
      <c r="B23" s="34" t="inlineStr">
        <is>
          <t>7310206</t>
        </is>
      </c>
      <c r="C23" s="34" t="inlineStr">
        <is>
          <t>Quan hệ quốc tế</t>
        </is>
      </c>
    </row>
    <row r="24">
      <c r="A24" s="34" t="n">
        <v>14</v>
      </c>
      <c r="B24" s="34" t="inlineStr">
        <is>
          <t>7310301</t>
        </is>
      </c>
      <c r="C24" s="34" t="inlineStr">
        <is>
          <t>Xã hội học</t>
        </is>
      </c>
    </row>
    <row r="25">
      <c r="A25" s="34" t="n">
        <v>15</v>
      </c>
      <c r="B25" s="34" t="inlineStr">
        <is>
          <t>7310401</t>
        </is>
      </c>
      <c r="C25" s="34" t="inlineStr">
        <is>
          <t>Tâm lý học</t>
        </is>
      </c>
    </row>
    <row r="26">
      <c r="A26" s="34" t="n">
        <v>16</v>
      </c>
      <c r="B26" s="34" t="inlineStr">
        <is>
          <t>7310601</t>
        </is>
      </c>
      <c r="C26" s="34" t="inlineStr">
        <is>
          <t>Quốc tế học</t>
        </is>
      </c>
    </row>
    <row r="27">
      <c r="A27" s="34" t="n">
        <v>17</v>
      </c>
      <c r="B27" s="34" t="inlineStr">
        <is>
          <t>7310608</t>
        </is>
      </c>
      <c r="C27" s="34" t="inlineStr">
        <is>
          <t>Đông phương học</t>
        </is>
      </c>
    </row>
    <row r="28">
      <c r="A28" s="34" t="n">
        <v>18</v>
      </c>
      <c r="B28" s="34" t="inlineStr">
        <is>
          <t>7310630</t>
        </is>
      </c>
      <c r="C28" s="34" t="inlineStr">
        <is>
          <t>Việt Nam học</t>
        </is>
      </c>
    </row>
    <row r="29">
      <c r="A29" s="34" t="n">
        <v>19</v>
      </c>
      <c r="B29" s="34" t="inlineStr">
        <is>
          <t>7320101</t>
        </is>
      </c>
      <c r="C29" s="34" t="inlineStr">
        <is>
          <t>Báo chí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cmussh.edu.vn/" r:id="rId2"/>
    <hyperlink xmlns:r="http://schemas.openxmlformats.org/officeDocument/2006/relationships" ref="B6" display="https://tuyensinh.hcmussh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6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Đại học Kinh tế TP.HCM (UEH)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https://ueh.edu.vn/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https://tuyensinh.ueh.edu.vn/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2025-2026. Nguồn: các trang tuyển sinh UEH.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7220201</t>
        </is>
      </c>
      <c r="C11" s="34" t="inlineStr">
        <is>
          <t>Tiếng Anh thương mại</t>
        </is>
      </c>
    </row>
    <row r="12">
      <c r="A12" s="34" t="n">
        <v>2</v>
      </c>
      <c r="B12" s="34" t="inlineStr">
        <is>
          <t>7310101</t>
        </is>
      </c>
      <c r="C12" s="34" t="inlineStr">
        <is>
          <t>Kinh tế</t>
        </is>
      </c>
    </row>
    <row r="13">
      <c r="A13" s="34" t="n">
        <v>3</v>
      </c>
      <c r="B13" s="34" t="inlineStr">
        <is>
          <t>7310102</t>
        </is>
      </c>
      <c r="C13" s="34" t="inlineStr">
        <is>
          <t>Kinh tế chính trị</t>
        </is>
      </c>
    </row>
    <row r="14">
      <c r="A14" s="34" t="n">
        <v>4</v>
      </c>
      <c r="B14" s="34" t="inlineStr">
        <is>
          <t>7310104</t>
        </is>
      </c>
      <c r="C14" s="34" t="inlineStr">
        <is>
          <t>Kinh tế đầu tư</t>
        </is>
      </c>
    </row>
    <row r="15">
      <c r="A15" s="34" t="n">
        <v>5</v>
      </c>
      <c r="B15" s="34" t="inlineStr">
        <is>
          <t>7310107</t>
        </is>
      </c>
      <c r="C15" s="34" t="inlineStr">
        <is>
          <t>Thống kê kinh doanh</t>
        </is>
      </c>
    </row>
    <row r="16">
      <c r="A16" s="34" t="n">
        <v>6</v>
      </c>
      <c r="B16" s="34" t="inlineStr">
        <is>
          <t>7310108</t>
        </is>
      </c>
      <c r="C16" s="34" t="inlineStr">
        <is>
          <t>Toán tài chính</t>
        </is>
      </c>
    </row>
    <row r="17">
      <c r="A17" s="34" t="n">
        <v>7</v>
      </c>
      <c r="B17" s="34" t="inlineStr">
        <is>
          <t>7340101</t>
        </is>
      </c>
      <c r="C17" s="34" t="inlineStr">
        <is>
          <t>Quản trị kinh doanh</t>
        </is>
      </c>
    </row>
    <row r="18">
      <c r="A18" s="34" t="n">
        <v>8</v>
      </c>
      <c r="B18" s="34" t="inlineStr">
        <is>
          <t>7340115</t>
        </is>
      </c>
      <c r="C18" s="34" t="inlineStr">
        <is>
          <t>Marketing</t>
        </is>
      </c>
    </row>
    <row r="19">
      <c r="A19" s="34" t="n">
        <v>9</v>
      </c>
      <c r="B19" s="34" t="inlineStr">
        <is>
          <t>7340116</t>
        </is>
      </c>
      <c r="C19" s="34" t="inlineStr">
        <is>
          <t>Bất động sản</t>
        </is>
      </c>
    </row>
    <row r="20">
      <c r="A20" s="34" t="n">
        <v>10</v>
      </c>
      <c r="B20" s="34" t="inlineStr">
        <is>
          <t>7340120</t>
        </is>
      </c>
      <c r="C20" s="34" t="inlineStr">
        <is>
          <t>Kinh doanh quốc tế</t>
        </is>
      </c>
    </row>
    <row r="21">
      <c r="A21" s="34" t="n">
        <v>11</v>
      </c>
      <c r="B21" s="34" t="inlineStr">
        <is>
          <t>7340121</t>
        </is>
      </c>
      <c r="C21" s="34" t="inlineStr">
        <is>
          <t>Kinh doanh thương mại</t>
        </is>
      </c>
    </row>
    <row r="22">
      <c r="A22" s="34" t="n">
        <v>12</v>
      </c>
      <c r="B22" s="34" t="inlineStr">
        <is>
          <t>7340122</t>
        </is>
      </c>
      <c r="C22" s="34" t="inlineStr">
        <is>
          <t>Thương mại điện tử</t>
        </is>
      </c>
    </row>
    <row r="23">
      <c r="A23" s="34" t="n">
        <v>13</v>
      </c>
      <c r="B23" s="34" t="inlineStr">
        <is>
          <t>7340201</t>
        </is>
      </c>
      <c r="C23" s="34" t="inlineStr">
        <is>
          <t>Tài chính – Ngân hàng</t>
        </is>
      </c>
    </row>
    <row r="24">
      <c r="A24" s="34" t="n">
        <v>14</v>
      </c>
      <c r="B24" s="34" t="inlineStr">
        <is>
          <t>7340301</t>
        </is>
      </c>
      <c r="C24" s="34" t="inlineStr">
        <is>
          <t>Kế toán</t>
        </is>
      </c>
    </row>
    <row r="25">
      <c r="A25" s="34" t="n">
        <v>15</v>
      </c>
      <c r="B25" s="34" t="inlineStr">
        <is>
          <t>7340302</t>
        </is>
      </c>
      <c r="C25" s="34" t="inlineStr">
        <is>
          <t>Kiểm toán</t>
        </is>
      </c>
    </row>
    <row r="26">
      <c r="A26" s="34" t="n">
        <v>16</v>
      </c>
      <c r="B26" s="34" t="inlineStr">
        <is>
          <t>7380101</t>
        </is>
      </c>
      <c r="C26" s="34" t="inlineStr">
        <is>
          <t>Luật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ueh.edu.vn/" r:id="rId2"/>
    <hyperlink xmlns:r="http://schemas.openxmlformats.org/officeDocument/2006/relationships" ref="B6" display="https://tuyensinh.ueh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7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Tôn Đức Thắng (TDTU)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https://tdtu.edu.vn/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https://tuyensinh.tdtu.edu.vn/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các trang tuyển sinh TDTU.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7420201</t>
        </is>
      </c>
      <c r="C11" s="34" t="inlineStr">
        <is>
          <t>Công nghệ sinh học</t>
        </is>
      </c>
    </row>
    <row r="12">
      <c r="A12" s="34" t="n">
        <v>2</v>
      </c>
      <c r="B12" s="34" t="inlineStr">
        <is>
          <t>7520301</t>
        </is>
      </c>
      <c r="C12" s="34" t="inlineStr">
        <is>
          <t>Kỹ thuật hóa học</t>
        </is>
      </c>
    </row>
    <row r="13">
      <c r="A13" s="34" t="n">
        <v>3</v>
      </c>
      <c r="B13" s="34" t="inlineStr">
        <is>
          <t>7480201</t>
        </is>
      </c>
      <c r="C13" s="34" t="inlineStr">
        <is>
          <t>Công nghệ thông tin</t>
        </is>
      </c>
    </row>
    <row r="14">
      <c r="A14" s="34" t="n">
        <v>4</v>
      </c>
      <c r="B14" s="34" t="inlineStr">
        <is>
          <t>7480101</t>
        </is>
      </c>
      <c r="C14" s="34" t="inlineStr">
        <is>
          <t>Khoa học máy tính</t>
        </is>
      </c>
    </row>
    <row r="15">
      <c r="A15" s="34" t="n">
        <v>5</v>
      </c>
      <c r="B15" s="34" t="inlineStr">
        <is>
          <t>7340101</t>
        </is>
      </c>
      <c r="C15" s="34" t="inlineStr">
        <is>
          <t>Quản trị kinh doanh</t>
        </is>
      </c>
    </row>
    <row r="16">
      <c r="A16" s="34" t="n">
        <v>6</v>
      </c>
      <c r="B16" s="34" t="inlineStr">
        <is>
          <t>7340115</t>
        </is>
      </c>
      <c r="C16" s="34" t="inlineStr">
        <is>
          <t>Marketing</t>
        </is>
      </c>
    </row>
    <row r="17">
      <c r="A17" s="34" t="n">
        <v>7</v>
      </c>
      <c r="B17" s="34" t="inlineStr">
        <is>
          <t>7340201</t>
        </is>
      </c>
      <c r="C17" s="34" t="inlineStr">
        <is>
          <t>Tài chính – Ngân hàng</t>
        </is>
      </c>
    </row>
    <row r="18">
      <c r="A18" s="34" t="n">
        <v>8</v>
      </c>
      <c r="B18" s="34" t="inlineStr">
        <is>
          <t>7340301</t>
        </is>
      </c>
      <c r="C18" s="34" t="inlineStr">
        <is>
          <t>Kế toán</t>
        </is>
      </c>
    </row>
    <row r="19">
      <c r="A19" s="34" t="n">
        <v>9</v>
      </c>
      <c r="B19" s="34" t="inlineStr">
        <is>
          <t>7220201</t>
        </is>
      </c>
      <c r="C19" s="34" t="inlineStr">
        <is>
          <t>Ngôn ngữ Anh</t>
        </is>
      </c>
    </row>
    <row r="20">
      <c r="A20" s="34" t="n">
        <v>10</v>
      </c>
      <c r="B20" s="34" t="inlineStr">
        <is>
          <t>7510205</t>
        </is>
      </c>
      <c r="C20" s="34" t="inlineStr">
        <is>
          <t>Công nghệ kỹ thuật ô tô</t>
        </is>
      </c>
    </row>
    <row r="21">
      <c r="A21" s="34" t="n">
        <v>11</v>
      </c>
      <c r="B21" s="34" t="inlineStr">
        <is>
          <t>7580201</t>
        </is>
      </c>
      <c r="C21" s="34" t="inlineStr">
        <is>
          <t>Kỹ thuật xây dựng</t>
        </is>
      </c>
    </row>
    <row r="22">
      <c r="A22" s="34" t="n">
        <v>12</v>
      </c>
      <c r="B22" s="34" t="inlineStr">
        <is>
          <t>7520216</t>
        </is>
      </c>
      <c r="C22" s="34" t="inlineStr">
        <is>
          <t>Kỹ thuật điều khiển và tự động hóa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tdtu.edu.vn/" r:id="rId2"/>
    <hyperlink xmlns:r="http://schemas.openxmlformats.org/officeDocument/2006/relationships" ref="B6" display="https://tuyensinh.tdt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8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Sư phạm TP.HCM (HCMUE)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https://hcmue.edu.vn/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https://tuyensinh.hcmue.edu.vn/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các trang tuyển sinh HCMUE.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7140201</t>
        </is>
      </c>
      <c r="C11" s="34" t="inlineStr">
        <is>
          <t>Giáo dục Mầm non</t>
        </is>
      </c>
    </row>
    <row r="12">
      <c r="A12" s="34" t="n">
        <v>2</v>
      </c>
      <c r="B12" s="34" t="inlineStr">
        <is>
          <t>7140202</t>
        </is>
      </c>
      <c r="C12" s="34" t="inlineStr">
        <is>
          <t>Giáo dục Tiểu học</t>
        </is>
      </c>
    </row>
    <row r="13">
      <c r="A13" s="34" t="n">
        <v>3</v>
      </c>
      <c r="B13" s="34" t="inlineStr">
        <is>
          <t>7140203</t>
        </is>
      </c>
      <c r="C13" s="34" t="inlineStr">
        <is>
          <t>Giáo dục Đặc biệt</t>
        </is>
      </c>
    </row>
    <row r="14">
      <c r="A14" s="34" t="n">
        <v>4</v>
      </c>
      <c r="B14" s="34" t="inlineStr">
        <is>
          <t>7140204</t>
        </is>
      </c>
      <c r="C14" s="34" t="inlineStr">
        <is>
          <t>Giáo dục Công dân</t>
        </is>
      </c>
    </row>
    <row r="15">
      <c r="A15" s="34" t="n">
        <v>5</v>
      </c>
      <c r="B15" s="34" t="inlineStr">
        <is>
          <t>7140205</t>
        </is>
      </c>
      <c r="C15" s="34" t="inlineStr">
        <is>
          <t>Giáo dục Chính trị</t>
        </is>
      </c>
    </row>
    <row r="16">
      <c r="A16" s="34" t="n">
        <v>6</v>
      </c>
      <c r="B16" s="34" t="inlineStr">
        <is>
          <t>7140206</t>
        </is>
      </c>
      <c r="C16" s="34" t="inlineStr">
        <is>
          <t>Giáo dục Thể chất</t>
        </is>
      </c>
    </row>
    <row r="17">
      <c r="A17" s="34" t="n">
        <v>7</v>
      </c>
      <c r="B17" s="34" t="inlineStr">
        <is>
          <t>7140208</t>
        </is>
      </c>
      <c r="C17" s="34" t="inlineStr">
        <is>
          <t>Giáo dục Quốc phòng - An ninh</t>
        </is>
      </c>
    </row>
    <row r="18">
      <c r="A18" s="34" t="n">
        <v>8</v>
      </c>
      <c r="B18" s="34" t="inlineStr">
        <is>
          <t>7140209</t>
        </is>
      </c>
      <c r="C18" s="34" t="inlineStr">
        <is>
          <t>Sư phạm Toán học</t>
        </is>
      </c>
    </row>
    <row r="19">
      <c r="A19" s="34" t="n">
        <v>9</v>
      </c>
      <c r="B19" s="34" t="inlineStr">
        <is>
          <t>7140210</t>
        </is>
      </c>
      <c r="C19" s="34" t="inlineStr">
        <is>
          <t>Sư phạm Tin học</t>
        </is>
      </c>
    </row>
    <row r="20">
      <c r="A20" s="34" t="n">
        <v>10</v>
      </c>
      <c r="B20" s="34" t="inlineStr">
        <is>
          <t>7140211</t>
        </is>
      </c>
      <c r="C20" s="34" t="inlineStr">
        <is>
          <t>Sư phạm Vật lý</t>
        </is>
      </c>
    </row>
    <row r="21">
      <c r="A21" s="34" t="n">
        <v>11</v>
      </c>
      <c r="B21" s="34" t="inlineStr">
        <is>
          <t>7140212</t>
        </is>
      </c>
      <c r="C21" s="34" t="inlineStr">
        <is>
          <t>Sư phạm Hóa học</t>
        </is>
      </c>
    </row>
    <row r="22">
      <c r="A22" s="34" t="n">
        <v>12</v>
      </c>
      <c r="B22" s="34" t="inlineStr">
        <is>
          <t>7140213</t>
        </is>
      </c>
      <c r="C22" s="34" t="inlineStr">
        <is>
          <t>Sư phạm Sinh học</t>
        </is>
      </c>
    </row>
    <row r="23">
      <c r="A23" s="34" t="n">
        <v>13</v>
      </c>
      <c r="B23" s="34" t="inlineStr">
        <is>
          <t>7140217</t>
        </is>
      </c>
      <c r="C23" s="34" t="inlineStr">
        <is>
          <t>Sư phạm Ngữ văn</t>
        </is>
      </c>
    </row>
    <row r="24">
      <c r="A24" s="34" t="n">
        <v>14</v>
      </c>
      <c r="B24" s="34" t="inlineStr">
        <is>
          <t>7140218</t>
        </is>
      </c>
      <c r="C24" s="34" t="inlineStr">
        <is>
          <t>Sư phạm Lịch sử</t>
        </is>
      </c>
    </row>
    <row r="25">
      <c r="A25" s="34" t="n">
        <v>15</v>
      </c>
      <c r="B25" s="34" t="inlineStr">
        <is>
          <t>7140219</t>
        </is>
      </c>
      <c r="C25" s="34" t="inlineStr">
        <is>
          <t>Sư phạm Địa lý</t>
        </is>
      </c>
    </row>
    <row r="26">
      <c r="A26" s="34" t="n">
        <v>16</v>
      </c>
      <c r="B26" s="34" t="inlineStr">
        <is>
          <t>7140231</t>
        </is>
      </c>
      <c r="C26" s="34" t="inlineStr">
        <is>
          <t>Sư phạm Tiếng Anh</t>
        </is>
      </c>
    </row>
    <row r="27">
      <c r="A27" s="34" t="n">
        <v>17</v>
      </c>
      <c r="B27" s="34" t="inlineStr">
        <is>
          <t>7140232</t>
        </is>
      </c>
      <c r="C27" s="34" t="inlineStr">
        <is>
          <t>Sư phạm Tiếng Nga</t>
        </is>
      </c>
    </row>
    <row r="28">
      <c r="A28" s="34" t="n">
        <v>18</v>
      </c>
      <c r="B28" s="34" t="inlineStr">
        <is>
          <t>7140233</t>
        </is>
      </c>
      <c r="C28" s="34" t="inlineStr">
        <is>
          <t>Sư phạm Tiếng Pháp</t>
        </is>
      </c>
    </row>
    <row r="29">
      <c r="A29" s="34" t="n">
        <v>19</v>
      </c>
      <c r="B29" s="34" t="inlineStr">
        <is>
          <t>7140234</t>
        </is>
      </c>
      <c r="C29" s="34" t="inlineStr">
        <is>
          <t>Sư phạm Tiếng Trung Quốc</t>
        </is>
      </c>
    </row>
    <row r="30">
      <c r="A30" s="34" t="n">
        <v>20</v>
      </c>
      <c r="B30" s="34" t="inlineStr">
        <is>
          <t>7220201</t>
        </is>
      </c>
      <c r="C30" s="34" t="inlineStr">
        <is>
          <t>Ngôn ngữ Anh</t>
        </is>
      </c>
    </row>
    <row r="31">
      <c r="A31" s="34" t="n">
        <v>21</v>
      </c>
      <c r="B31" s="34" t="inlineStr">
        <is>
          <t>7310401</t>
        </is>
      </c>
      <c r="C31" s="34" t="inlineStr">
        <is>
          <t>Tâm lý học</t>
        </is>
      </c>
    </row>
    <row r="32">
      <c r="A32" s="34" t="n">
        <v>22</v>
      </c>
      <c r="B32" s="34" t="inlineStr">
        <is>
          <t>7480201</t>
        </is>
      </c>
      <c r="C32" s="34" t="inlineStr">
        <is>
          <t>Công nghệ thông tin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cmue.edu.vn/" r:id="rId2"/>
    <hyperlink xmlns:r="http://schemas.openxmlformats.org/officeDocument/2006/relationships" ref="B6" display="https://tuyensinh.hcmue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9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Sư phạm Kỹ thuật TP.HCM (HCMUTE)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https://hcmute.edu.vn/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https://tuyensinh.hcmute.edu.vn/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2025-2026. Nguồn: các trang tuyển sinh HCMUTE.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7510301</t>
        </is>
      </c>
      <c r="C11" s="34" t="inlineStr">
        <is>
          <t>Công nghệ kỹ thuật điện, điện tử</t>
        </is>
      </c>
    </row>
    <row r="12">
      <c r="A12" s="34" t="n">
        <v>2</v>
      </c>
      <c r="B12" s="34" t="inlineStr">
        <is>
          <t>7510302</t>
        </is>
      </c>
      <c r="C12" s="34" t="inlineStr">
        <is>
          <t>Công nghệ kỹ thuật điện tử, viễn thông</t>
        </is>
      </c>
    </row>
    <row r="13">
      <c r="A13" s="34" t="n">
        <v>3</v>
      </c>
      <c r="B13" s="34" t="inlineStr">
        <is>
          <t>7510303</t>
        </is>
      </c>
      <c r="C13" s="34" t="inlineStr">
        <is>
          <t>Công nghệ kỹ thuật điều khiển và tự động hóa</t>
        </is>
      </c>
    </row>
    <row r="14">
      <c r="A14" s="34" t="n">
        <v>4</v>
      </c>
      <c r="B14" s="34" t="inlineStr">
        <is>
          <t>7480108</t>
        </is>
      </c>
      <c r="C14" s="34" t="inlineStr">
        <is>
          <t>Công nghệ kỹ thuật máy tính</t>
        </is>
      </c>
    </row>
    <row r="15">
      <c r="A15" s="34" t="n">
        <v>5</v>
      </c>
      <c r="B15" s="34" t="inlineStr">
        <is>
          <t>7520212</t>
        </is>
      </c>
      <c r="C15" s="34" t="inlineStr">
        <is>
          <t>Kỹ thuật Y sinh</t>
        </is>
      </c>
    </row>
    <row r="16">
      <c r="A16" s="34" t="n">
        <v>6</v>
      </c>
      <c r="B16" s="34" t="inlineStr">
        <is>
          <t>7480201</t>
        </is>
      </c>
      <c r="C16" s="34" t="inlineStr">
        <is>
          <t>Công nghệ thông tin</t>
        </is>
      </c>
    </row>
    <row r="17">
      <c r="A17" s="34" t="n">
        <v>7</v>
      </c>
      <c r="B17" s="34" t="inlineStr">
        <is>
          <t>7510205</t>
        </is>
      </c>
      <c r="C17" s="34" t="inlineStr">
        <is>
          <t>Công nghệ kỹ thuật ô tô</t>
        </is>
      </c>
    </row>
    <row r="18">
      <c r="A18" s="34" t="n">
        <v>8</v>
      </c>
      <c r="B18" s="34" t="inlineStr">
        <is>
          <t>7520103</t>
        </is>
      </c>
      <c r="C18" s="34" t="inlineStr">
        <is>
          <t>Kỹ thuật cơ khí</t>
        </is>
      </c>
    </row>
    <row r="19">
      <c r="A19" s="34" t="n">
        <v>9</v>
      </c>
      <c r="B19" s="34" t="inlineStr">
        <is>
          <t>7520114</t>
        </is>
      </c>
      <c r="C19" s="34" t="inlineStr">
        <is>
          <t>Kỹ thuật cơ điện tử</t>
        </is>
      </c>
    </row>
    <row r="20">
      <c r="A20" s="34" t="n">
        <v>10</v>
      </c>
      <c r="B20" s="34" t="inlineStr">
        <is>
          <t>7540101</t>
        </is>
      </c>
      <c r="C20" s="34" t="inlineStr">
        <is>
          <t>Công nghệ thực phẩm</t>
        </is>
      </c>
    </row>
    <row r="21">
      <c r="A21" s="34" t="n">
        <v>11</v>
      </c>
      <c r="B21" s="34" t="inlineStr">
        <is>
          <t>7580201</t>
        </is>
      </c>
      <c r="C21" s="34" t="inlineStr">
        <is>
          <t>Kỹ thuật xây dựng</t>
        </is>
      </c>
    </row>
    <row r="22">
      <c r="A22" s="34" t="n">
        <v>12</v>
      </c>
      <c r="B22" s="34" t="inlineStr">
        <is>
          <t>7340101</t>
        </is>
      </c>
      <c r="C22" s="34" t="inlineStr">
        <is>
          <t>Quản trị kinh doanh</t>
        </is>
      </c>
    </row>
    <row r="23">
      <c r="A23" s="34" t="n">
        <v>13</v>
      </c>
      <c r="B23" s="34" t="inlineStr">
        <is>
          <t>7340205</t>
        </is>
      </c>
      <c r="C23" s="34" t="inlineStr">
        <is>
          <t>Công nghệ tài chính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cmute.edu.vn/" r:id="rId2"/>
    <hyperlink xmlns:r="http://schemas.openxmlformats.org/officeDocument/2006/relationships" ref="B6" display="https://tuyensinh.hcmute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0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Công nghiệp TP.HCM (IUH)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https://iuh.edu.vn/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https://tuyensinh.iuh.edu.vn/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các trang tuyển sinh IUH.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7510301</t>
        </is>
      </c>
      <c r="C11" s="34" t="inlineStr">
        <is>
          <t>Công nghệ kỹ thuật điện, điện tử</t>
        </is>
      </c>
    </row>
    <row r="12">
      <c r="A12" s="34" t="n">
        <v>2</v>
      </c>
      <c r="B12" s="34" t="inlineStr">
        <is>
          <t>7510303</t>
        </is>
      </c>
      <c r="C12" s="34" t="inlineStr">
        <is>
          <t>Công nghệ kỹ thuật điều khiển và tự động hóa</t>
        </is>
      </c>
    </row>
    <row r="13">
      <c r="A13" s="34" t="n">
        <v>3</v>
      </c>
      <c r="B13" s="34" t="inlineStr">
        <is>
          <t>7510302</t>
        </is>
      </c>
      <c r="C13" s="34" t="inlineStr">
        <is>
          <t>Công nghệ kỹ thuật điện tử - viễn thông</t>
        </is>
      </c>
    </row>
    <row r="14">
      <c r="A14" s="34" t="n">
        <v>4</v>
      </c>
      <c r="B14" s="34" t="inlineStr">
        <is>
          <t>7480108</t>
        </is>
      </c>
      <c r="C14" s="34" t="inlineStr">
        <is>
          <t>Kỹ thuật máy tính</t>
        </is>
      </c>
    </row>
    <row r="15">
      <c r="A15" s="34" t="n">
        <v>5</v>
      </c>
      <c r="B15" s="34" t="inlineStr">
        <is>
          <t>7510201</t>
        </is>
      </c>
      <c r="C15" s="34" t="inlineStr">
        <is>
          <t>Công nghệ kỹ thuật cơ khí</t>
        </is>
      </c>
    </row>
    <row r="16">
      <c r="A16" s="34" t="n">
        <v>6</v>
      </c>
      <c r="B16" s="34" t="inlineStr">
        <is>
          <t>7510203</t>
        </is>
      </c>
      <c r="C16" s="34" t="inlineStr">
        <is>
          <t>Công nghệ kỹ thuật cơ điện tử</t>
        </is>
      </c>
    </row>
    <row r="17">
      <c r="A17" s="34" t="n">
        <v>7</v>
      </c>
      <c r="B17" s="34" t="inlineStr">
        <is>
          <t>7480201</t>
        </is>
      </c>
      <c r="C17" s="34" t="inlineStr">
        <is>
          <t>Công nghệ thông tin</t>
        </is>
      </c>
    </row>
    <row r="18">
      <c r="A18" s="34" t="n">
        <v>8</v>
      </c>
      <c r="B18" s="34" t="inlineStr">
        <is>
          <t>7480103</t>
        </is>
      </c>
      <c r="C18" s="34" t="inlineStr">
        <is>
          <t>Kỹ thuật phần mềm</t>
        </is>
      </c>
    </row>
    <row r="19">
      <c r="A19" s="34" t="n">
        <v>9</v>
      </c>
      <c r="B19" s="34" t="inlineStr">
        <is>
          <t>7480101</t>
        </is>
      </c>
      <c r="C19" s="34" t="inlineStr">
        <is>
          <t>Khoa học máy tính</t>
        </is>
      </c>
    </row>
    <row r="20">
      <c r="A20" s="34" t="n">
        <v>10</v>
      </c>
      <c r="B20" s="34" t="inlineStr">
        <is>
          <t>7340101</t>
        </is>
      </c>
      <c r="C20" s="34" t="inlineStr">
        <is>
          <t>Quản trị kinh doanh</t>
        </is>
      </c>
    </row>
    <row r="21">
      <c r="A21" s="34" t="n">
        <v>11</v>
      </c>
      <c r="B21" s="34" t="inlineStr">
        <is>
          <t>7340115</t>
        </is>
      </c>
      <c r="C21" s="34" t="inlineStr">
        <is>
          <t>Marketing</t>
        </is>
      </c>
    </row>
    <row r="22">
      <c r="A22" s="34" t="n">
        <v>12</v>
      </c>
      <c r="B22" s="34" t="inlineStr">
        <is>
          <t>7340120</t>
        </is>
      </c>
      <c r="C22" s="34" t="inlineStr">
        <is>
          <t>Kinh doanh quốc tế</t>
        </is>
      </c>
    </row>
    <row r="23">
      <c r="A23" s="34" t="n">
        <v>13</v>
      </c>
      <c r="B23" s="34" t="inlineStr">
        <is>
          <t>7340201</t>
        </is>
      </c>
      <c r="C23" s="34" t="inlineStr">
        <is>
          <t>Tài chính ngân hàng</t>
        </is>
      </c>
    </row>
    <row r="24">
      <c r="A24" s="34" t="n">
        <v>14</v>
      </c>
      <c r="B24" s="34" t="inlineStr">
        <is>
          <t>7340301</t>
        </is>
      </c>
      <c r="C24" s="34" t="inlineStr">
        <is>
          <t>Kế toán</t>
        </is>
      </c>
    </row>
    <row r="25">
      <c r="A25" s="34" t="n">
        <v>15</v>
      </c>
      <c r="B25" s="34" t="inlineStr">
        <is>
          <t>7420201</t>
        </is>
      </c>
      <c r="C25" s="34" t="inlineStr">
        <is>
          <t>Công nghệ sinh học</t>
        </is>
      </c>
    </row>
    <row r="26">
      <c r="A26" s="34" t="n">
        <v>16</v>
      </c>
      <c r="B26" s="34" t="inlineStr">
        <is>
          <t>7540101</t>
        </is>
      </c>
      <c r="C26" s="34" t="inlineStr">
        <is>
          <t>Công nghệ thực phẩm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iuh.edu.vn/" r:id="rId2"/>
    <hyperlink xmlns:r="http://schemas.openxmlformats.org/officeDocument/2006/relationships" ref="B6" display="https://tuyensinh.iuh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1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Công Thương TP.HCM (HUIT)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https://huit.edu.vn/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https://tuyensinh.huit.edu.vn/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các trang tuyển sinh HUIT.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7810103</t>
        </is>
      </c>
      <c r="C11" s="34" t="inlineStr">
        <is>
          <t>Quản trị dịch vụ du lịch và lữ hành</t>
        </is>
      </c>
    </row>
    <row r="12">
      <c r="A12" s="34" t="n">
        <v>2</v>
      </c>
      <c r="B12" s="34" t="inlineStr">
        <is>
          <t>7810201</t>
        </is>
      </c>
      <c r="C12" s="34" t="inlineStr">
        <is>
          <t>Quản trị khách sạn</t>
        </is>
      </c>
    </row>
    <row r="13">
      <c r="A13" s="34" t="n">
        <v>3</v>
      </c>
      <c r="B13" s="34" t="inlineStr">
        <is>
          <t>7810202</t>
        </is>
      </c>
      <c r="C13" s="34" t="inlineStr">
        <is>
          <t>Quản trị nhà hàng và dịch vụ ăn uống</t>
        </is>
      </c>
    </row>
    <row r="14">
      <c r="A14" s="34" t="n">
        <v>4</v>
      </c>
      <c r="B14" s="34" t="inlineStr">
        <is>
          <t>7380101</t>
        </is>
      </c>
      <c r="C14" s="34" t="inlineStr">
        <is>
          <t>Luật</t>
        </is>
      </c>
    </row>
    <row r="15">
      <c r="A15" s="34" t="n">
        <v>5</v>
      </c>
      <c r="B15" s="34" t="inlineStr">
        <is>
          <t>7380107</t>
        </is>
      </c>
      <c r="C15" s="34" t="inlineStr">
        <is>
          <t>Luật kinh tế</t>
        </is>
      </c>
    </row>
    <row r="16">
      <c r="A16" s="34" t="n">
        <v>6</v>
      </c>
      <c r="B16" s="34" t="inlineStr">
        <is>
          <t>7220201</t>
        </is>
      </c>
      <c r="C16" s="34" t="inlineStr">
        <is>
          <t>Ngôn ngữ Anh</t>
        </is>
      </c>
    </row>
    <row r="17">
      <c r="A17" s="34" t="n">
        <v>7</v>
      </c>
      <c r="B17" s="34" t="inlineStr">
        <is>
          <t>7220204</t>
        </is>
      </c>
      <c r="C17" s="34" t="inlineStr">
        <is>
          <t>Ngôn ngữ Trung Quốc</t>
        </is>
      </c>
    </row>
    <row r="18">
      <c r="A18" s="34" t="n">
        <v>8</v>
      </c>
      <c r="B18" s="34" t="inlineStr">
        <is>
          <t>7480201</t>
        </is>
      </c>
      <c r="C18" s="34" t="inlineStr">
        <is>
          <t>Công nghệ thông tin</t>
        </is>
      </c>
    </row>
    <row r="19">
      <c r="A19" s="34" t="n">
        <v>9</v>
      </c>
      <c r="B19" s="34" t="inlineStr">
        <is>
          <t>7480202</t>
        </is>
      </c>
      <c r="C19" s="34" t="inlineStr">
        <is>
          <t>An toàn thông tin</t>
        </is>
      </c>
    </row>
    <row r="20">
      <c r="A20" s="34" t="n">
        <v>10</v>
      </c>
      <c r="B20" s="34" t="inlineStr">
        <is>
          <t>7460108</t>
        </is>
      </c>
      <c r="C20" s="34" t="inlineStr">
        <is>
          <t>Khoa học dữ liệu</t>
        </is>
      </c>
    </row>
    <row r="21">
      <c r="A21" s="34" t="n">
        <v>11</v>
      </c>
      <c r="B21" s="34" t="inlineStr">
        <is>
          <t>7340301</t>
        </is>
      </c>
      <c r="C21" s="34" t="inlineStr">
        <is>
          <t>Kế toán</t>
        </is>
      </c>
    </row>
    <row r="22">
      <c r="A22" s="34" t="n">
        <v>12</v>
      </c>
      <c r="B22" s="34" t="inlineStr">
        <is>
          <t>7340201</t>
        </is>
      </c>
      <c r="C22" s="34" t="inlineStr">
        <is>
          <t>Tài chính ngân hàng</t>
        </is>
      </c>
    </row>
    <row r="23">
      <c r="A23" s="34" t="n">
        <v>13</v>
      </c>
      <c r="B23" s="34" t="inlineStr">
        <is>
          <t>7340205</t>
        </is>
      </c>
      <c r="C23" s="34" t="inlineStr">
        <is>
          <t>Công nghệ tài chính</t>
        </is>
      </c>
    </row>
    <row r="24">
      <c r="A24" s="34" t="n">
        <v>14</v>
      </c>
      <c r="B24" s="34" t="inlineStr">
        <is>
          <t>7340115</t>
        </is>
      </c>
      <c r="C24" s="34" t="inlineStr">
        <is>
          <t>Marketing</t>
        </is>
      </c>
    </row>
    <row r="25">
      <c r="A25" s="34" t="n">
        <v>15</v>
      </c>
      <c r="B25" s="34" t="inlineStr">
        <is>
          <t>7340122</t>
        </is>
      </c>
      <c r="C25" s="34" t="inlineStr">
        <is>
          <t>Thương mại điện tử</t>
        </is>
      </c>
    </row>
    <row r="26">
      <c r="A26" s="34" t="n">
        <v>16</v>
      </c>
      <c r="B26" s="34" t="inlineStr">
        <is>
          <t>7510605</t>
        </is>
      </c>
      <c r="C26" s="34" t="inlineStr">
        <is>
          <t>Logistics và quản lý chuỗi cung ứng</t>
        </is>
      </c>
    </row>
    <row r="27">
      <c r="A27" s="34" t="n">
        <v>17</v>
      </c>
      <c r="B27" s="34" t="inlineStr">
        <is>
          <t>7340101</t>
        </is>
      </c>
      <c r="C27" s="34" t="inlineStr">
        <is>
          <t>Quản trị kinh doanh</t>
        </is>
      </c>
    </row>
    <row r="28">
      <c r="A28" s="34" t="n">
        <v>18</v>
      </c>
      <c r="B28" s="34" t="inlineStr">
        <is>
          <t>7340120</t>
        </is>
      </c>
      <c r="C28" s="34" t="inlineStr">
        <is>
          <t>Kinh doanh quốc tế</t>
        </is>
      </c>
    </row>
    <row r="29">
      <c r="A29" s="34" t="n">
        <v>19</v>
      </c>
      <c r="B29" s="34" t="inlineStr">
        <is>
          <t>7540101</t>
        </is>
      </c>
      <c r="C29" s="34" t="inlineStr">
        <is>
          <t>Công nghệ thực phẩm</t>
        </is>
      </c>
    </row>
    <row r="30">
      <c r="A30" s="34" t="n">
        <v>20</v>
      </c>
      <c r="B30" s="34" t="inlineStr">
        <is>
          <t>7540106</t>
        </is>
      </c>
      <c r="C30" s="34" t="inlineStr">
        <is>
          <t>Đảm bảo chất lượng và an toàn thực phẩm</t>
        </is>
      </c>
    </row>
    <row r="31">
      <c r="A31" s="34" t="n">
        <v>21</v>
      </c>
      <c r="B31" s="34" t="inlineStr">
        <is>
          <t>7510301</t>
        </is>
      </c>
      <c r="C31" s="34" t="inlineStr">
        <is>
          <t>Công nghệ kỹ thuật điện - điện tử</t>
        </is>
      </c>
    </row>
    <row r="32">
      <c r="A32" s="34" t="n">
        <v>22</v>
      </c>
      <c r="B32" s="34" t="inlineStr">
        <is>
          <t>7510303</t>
        </is>
      </c>
      <c r="C32" s="34" t="inlineStr">
        <is>
          <t>Công nghệ kỹ thuật điều khiển và tự động hóa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uit.edu.vn/" r:id="rId2"/>
    <hyperlink xmlns:r="http://schemas.openxmlformats.org/officeDocument/2006/relationships" ref="B6" display="https://tuyensinh.huit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2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Giao thông vận tải TP.HCM (UTH)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https://ut.edu.vn/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https://tuyensinh.ut.edu.vn/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các trang tuyển sinh UTH.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7480201</t>
        </is>
      </c>
      <c r="C11" s="34" t="inlineStr">
        <is>
          <t>Công nghệ thông tin</t>
        </is>
      </c>
    </row>
    <row r="12">
      <c r="A12" s="34" t="n">
        <v>2</v>
      </c>
      <c r="B12" s="34" t="inlineStr">
        <is>
          <t>7510605</t>
        </is>
      </c>
      <c r="C12" s="34" t="inlineStr">
        <is>
          <t>Logistics và quản lý chuỗi cung ứng</t>
        </is>
      </c>
    </row>
    <row r="13">
      <c r="A13" s="34" t="n">
        <v>3</v>
      </c>
      <c r="B13" s="34" t="inlineStr">
        <is>
          <t>7340101</t>
        </is>
      </c>
      <c r="C13" s="34" t="inlineStr">
        <is>
          <t>Quản trị kinh doanh</t>
        </is>
      </c>
    </row>
    <row r="14">
      <c r="A14" s="34" t="n">
        <v>4</v>
      </c>
      <c r="B14" s="34" t="inlineStr">
        <is>
          <t>7220201</t>
        </is>
      </c>
      <c r="C14" s="34" t="inlineStr">
        <is>
          <t>Ngôn ngữ Anh</t>
        </is>
      </c>
    </row>
    <row r="15">
      <c r="A15" s="34" t="n">
        <v>5</v>
      </c>
      <c r="B15" s="34" t="inlineStr">
        <is>
          <t>7380101</t>
        </is>
      </c>
      <c r="C15" s="34" t="inlineStr">
        <is>
          <t>Luật</t>
        </is>
      </c>
    </row>
    <row r="16">
      <c r="A16" s="34" t="n">
        <v>6</v>
      </c>
      <c r="B16" s="34" t="inlineStr">
        <is>
          <t>7510201</t>
        </is>
      </c>
      <c r="C16" s="34" t="inlineStr">
        <is>
          <t>Công nghệ kỹ thuật cơ khí</t>
        </is>
      </c>
    </row>
    <row r="17">
      <c r="A17" s="34" t="n">
        <v>7</v>
      </c>
      <c r="B17" s="34" t="inlineStr">
        <is>
          <t>7510303</t>
        </is>
      </c>
      <c r="C17" s="34" t="inlineStr">
        <is>
          <t>Công nghệ kỹ thuật điều khiển và tự động hóa</t>
        </is>
      </c>
    </row>
    <row r="18">
      <c r="A18" s="34" t="n">
        <v>8</v>
      </c>
      <c r="B18" s="34" t="inlineStr">
        <is>
          <t>7510205</t>
        </is>
      </c>
      <c r="C18" s="34" t="inlineStr">
        <is>
          <t>Công nghệ kỹ thuật ô tô</t>
        </is>
      </c>
    </row>
    <row r="19">
      <c r="A19" s="34" t="n">
        <v>9</v>
      </c>
      <c r="B19" s="34" t="inlineStr">
        <is>
          <t>7520103</t>
        </is>
      </c>
      <c r="C19" s="34" t="inlineStr">
        <is>
          <t>Kỹ thuật cơ khí</t>
        </is>
      </c>
    </row>
    <row r="20">
      <c r="A20" s="34" t="n">
        <v>10</v>
      </c>
      <c r="B20" s="34" t="inlineStr">
        <is>
          <t>7520216</t>
        </is>
      </c>
      <c r="C20" s="34" t="inlineStr">
        <is>
          <t>Kỹ thuật điều khiển và tự động hóa</t>
        </is>
      </c>
    </row>
    <row r="21">
      <c r="A21" s="34" t="n">
        <v>11</v>
      </c>
      <c r="B21" s="34" t="inlineStr">
        <is>
          <t>7340405</t>
        </is>
      </c>
      <c r="C21" s="34" t="inlineStr">
        <is>
          <t>Hệ thống thông tin quản lý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ut.edu.vn/" r:id="rId2"/>
    <hyperlink xmlns:r="http://schemas.openxmlformats.org/officeDocument/2006/relationships" ref="B6" display="https://tuyensinh.ut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3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Mở TP.HCM (OU)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https://ou.edu.vn/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https://tuyensinh.ou.edu.vn/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các trang tuyển sinh OU.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7480107</t>
        </is>
      </c>
      <c r="C11" s="34" t="inlineStr">
        <is>
          <t>Trí tuệ nhân tạo</t>
        </is>
      </c>
    </row>
    <row r="12">
      <c r="A12" s="34" t="n">
        <v>2</v>
      </c>
      <c r="B12" s="34" t="inlineStr">
        <is>
          <t>7480101</t>
        </is>
      </c>
      <c r="C12" s="34" t="inlineStr">
        <is>
          <t>Khoa học máy tính</t>
        </is>
      </c>
    </row>
    <row r="13">
      <c r="A13" s="34" t="n">
        <v>3</v>
      </c>
      <c r="B13" s="34" t="inlineStr">
        <is>
          <t>7480103</t>
        </is>
      </c>
      <c r="C13" s="34" t="inlineStr">
        <is>
          <t>Kỹ thuật phần mềm</t>
        </is>
      </c>
    </row>
    <row r="14">
      <c r="A14" s="34" t="n">
        <v>4</v>
      </c>
      <c r="B14" s="34" t="inlineStr">
        <is>
          <t>7480201</t>
        </is>
      </c>
      <c r="C14" s="34" t="inlineStr">
        <is>
          <t>Công nghệ thông tin</t>
        </is>
      </c>
    </row>
    <row r="15">
      <c r="A15" s="34" t="n">
        <v>5</v>
      </c>
      <c r="B15" s="34" t="inlineStr">
        <is>
          <t>7340405</t>
        </is>
      </c>
      <c r="C15" s="34" t="inlineStr">
        <is>
          <t>Hệ thống thông tin quản lý</t>
        </is>
      </c>
    </row>
    <row r="16">
      <c r="A16" s="34" t="n">
        <v>6</v>
      </c>
      <c r="B16" s="34" t="inlineStr">
        <is>
          <t>7480202</t>
        </is>
      </c>
      <c r="C16" s="34" t="inlineStr">
        <is>
          <t>An toàn thông tin</t>
        </is>
      </c>
    </row>
    <row r="17">
      <c r="A17" s="34" t="n">
        <v>7</v>
      </c>
      <c r="B17" s="34" t="inlineStr">
        <is>
          <t>7420201</t>
        </is>
      </c>
      <c r="C17" s="34" t="inlineStr">
        <is>
          <t>Công nghệ sinh học</t>
        </is>
      </c>
    </row>
    <row r="18">
      <c r="A18" s="34" t="n">
        <v>8</v>
      </c>
      <c r="B18" s="34" t="inlineStr">
        <is>
          <t>7540101</t>
        </is>
      </c>
      <c r="C18" s="34" t="inlineStr">
        <is>
          <t>Công nghệ thực phẩm</t>
        </is>
      </c>
    </row>
    <row r="19">
      <c r="A19" s="34" t="n">
        <v>9</v>
      </c>
      <c r="B19" s="34" t="inlineStr">
        <is>
          <t>7340301</t>
        </is>
      </c>
      <c r="C19" s="34" t="inlineStr">
        <is>
          <t>Kế toán</t>
        </is>
      </c>
    </row>
    <row r="20">
      <c r="A20" s="34" t="n">
        <v>10</v>
      </c>
      <c r="B20" s="34" t="inlineStr">
        <is>
          <t>7340302</t>
        </is>
      </c>
      <c r="C20" s="34" t="inlineStr">
        <is>
          <t>Kiểm toán</t>
        </is>
      </c>
    </row>
    <row r="21">
      <c r="A21" s="34" t="n">
        <v>11</v>
      </c>
      <c r="B21" s="34" t="inlineStr">
        <is>
          <t>7340101</t>
        </is>
      </c>
      <c r="C21" s="34" t="inlineStr">
        <is>
          <t>Quản trị kinh doanh</t>
        </is>
      </c>
    </row>
    <row r="22">
      <c r="A22" s="34" t="n">
        <v>12</v>
      </c>
      <c r="B22" s="34" t="inlineStr">
        <is>
          <t>7340115</t>
        </is>
      </c>
      <c r="C22" s="34" t="inlineStr">
        <is>
          <t>Marketing</t>
        </is>
      </c>
    </row>
    <row r="23">
      <c r="A23" s="34" t="n">
        <v>13</v>
      </c>
      <c r="B23" s="34" t="inlineStr">
        <is>
          <t>7340120</t>
        </is>
      </c>
      <c r="C23" s="34" t="inlineStr">
        <is>
          <t>Kinh doanh quốc tế</t>
        </is>
      </c>
    </row>
    <row r="24">
      <c r="A24" s="34" t="n">
        <v>14</v>
      </c>
      <c r="B24" s="34" t="inlineStr">
        <is>
          <t>7220201</t>
        </is>
      </c>
      <c r="C24" s="34" t="inlineStr">
        <is>
          <t>Ngôn ngữ Anh</t>
        </is>
      </c>
    </row>
    <row r="25">
      <c r="A25" s="34" t="n">
        <v>15</v>
      </c>
      <c r="B25" s="34" t="inlineStr">
        <is>
          <t>7460108</t>
        </is>
      </c>
      <c r="C25" s="34" t="inlineStr">
        <is>
          <t>Khoa học dữ liệu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ou.edu.vn/" r:id="rId2"/>
    <hyperlink xmlns:r="http://schemas.openxmlformats.org/officeDocument/2006/relationships" ref="B6" display="https://tuyensinh.o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4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Tài chính - Marketing (UFM)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https://ufm.edu.vn/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https://tuyensinh.ufm.edu.vn/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2025-2026. Nguồn: các trang tuyển sinh UFM.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7310101</t>
        </is>
      </c>
      <c r="C11" s="34" t="inlineStr">
        <is>
          <t>Kinh tế</t>
        </is>
      </c>
    </row>
    <row r="12">
      <c r="A12" s="34" t="n">
        <v>2</v>
      </c>
      <c r="B12" s="34" t="inlineStr">
        <is>
          <t>7380107</t>
        </is>
      </c>
      <c r="C12" s="34" t="inlineStr">
        <is>
          <t>Luật kinh tế</t>
        </is>
      </c>
    </row>
    <row r="13">
      <c r="A13" s="34" t="n">
        <v>3</v>
      </c>
      <c r="B13" s="34" t="inlineStr">
        <is>
          <t>7310108</t>
        </is>
      </c>
      <c r="C13" s="34" t="inlineStr">
        <is>
          <t>Toán kinh tế</t>
        </is>
      </c>
    </row>
    <row r="14">
      <c r="A14" s="34" t="n">
        <v>4</v>
      </c>
      <c r="B14" s="34" t="inlineStr">
        <is>
          <t>7220201</t>
        </is>
      </c>
      <c r="C14" s="34" t="inlineStr">
        <is>
          <t>Ngôn ngữ Anh</t>
        </is>
      </c>
    </row>
    <row r="15">
      <c r="A15" s="34" t="n">
        <v>5</v>
      </c>
      <c r="B15" s="34" t="inlineStr">
        <is>
          <t>7340405</t>
        </is>
      </c>
      <c r="C15" s="34" t="inlineStr">
        <is>
          <t>Hệ thống thông tin quản lý</t>
        </is>
      </c>
    </row>
    <row r="16">
      <c r="A16" s="34" t="n">
        <v>6</v>
      </c>
      <c r="B16" s="34" t="inlineStr">
        <is>
          <t>7340116</t>
        </is>
      </c>
      <c r="C16" s="34" t="inlineStr">
        <is>
          <t>Bất động sản</t>
        </is>
      </c>
    </row>
    <row r="17">
      <c r="A17" s="34" t="n">
        <v>7</v>
      </c>
      <c r="B17" s="34" t="inlineStr">
        <is>
          <t>7460108</t>
        </is>
      </c>
      <c r="C17" s="34" t="inlineStr">
        <is>
          <t>Khoa học dữ liệu</t>
        </is>
      </c>
    </row>
    <row r="18">
      <c r="A18" s="34" t="n">
        <v>8</v>
      </c>
      <c r="B18" s="34" t="inlineStr">
        <is>
          <t>7310110</t>
        </is>
      </c>
      <c r="C18" s="34" t="inlineStr">
        <is>
          <t>Quản lý kinh tế</t>
        </is>
      </c>
    </row>
    <row r="19">
      <c r="A19" s="34" t="n">
        <v>9</v>
      </c>
      <c r="B19" s="34" t="inlineStr">
        <is>
          <t>7340101</t>
        </is>
      </c>
      <c r="C19" s="34" t="inlineStr">
        <is>
          <t>Quản trị kinh doanh</t>
        </is>
      </c>
    </row>
    <row r="20">
      <c r="A20" s="34" t="n">
        <v>10</v>
      </c>
      <c r="B20" s="34" t="inlineStr">
        <is>
          <t>7340115</t>
        </is>
      </c>
      <c r="C20" s="34" t="inlineStr">
        <is>
          <t>Marketing</t>
        </is>
      </c>
    </row>
    <row r="21">
      <c r="A21" s="34" t="n">
        <v>11</v>
      </c>
      <c r="B21" s="34" t="inlineStr">
        <is>
          <t>7340120</t>
        </is>
      </c>
      <c r="C21" s="34" t="inlineStr">
        <is>
          <t>Kinh doanh quốc tế</t>
        </is>
      </c>
    </row>
    <row r="22">
      <c r="A22" s="34" t="n">
        <v>12</v>
      </c>
      <c r="B22" s="34" t="inlineStr">
        <is>
          <t>7340201</t>
        </is>
      </c>
      <c r="C22" s="34" t="inlineStr">
        <is>
          <t>Tài chính - Ngân hàng</t>
        </is>
      </c>
    </row>
    <row r="23">
      <c r="A23" s="34" t="n">
        <v>13</v>
      </c>
      <c r="B23" s="34" t="inlineStr">
        <is>
          <t>7340205</t>
        </is>
      </c>
      <c r="C23" s="34" t="inlineStr">
        <is>
          <t>Công nghệ tài chính</t>
        </is>
      </c>
    </row>
    <row r="24">
      <c r="A24" s="34" t="n">
        <v>14</v>
      </c>
      <c r="B24" s="34" t="inlineStr">
        <is>
          <t>7340301</t>
        </is>
      </c>
      <c r="C24" s="34" t="inlineStr">
        <is>
          <t>Kế toán</t>
        </is>
      </c>
    </row>
    <row r="25">
      <c r="A25" s="34" t="n">
        <v>15</v>
      </c>
      <c r="B25" s="34" t="inlineStr">
        <is>
          <t>7340302</t>
        </is>
      </c>
      <c r="C25" s="34" t="inlineStr">
        <is>
          <t>Kiểm toán</t>
        </is>
      </c>
    </row>
    <row r="26">
      <c r="A26" s="34" t="n">
        <v>16</v>
      </c>
      <c r="B26" s="34" t="inlineStr">
        <is>
          <t>7810103</t>
        </is>
      </c>
      <c r="C26" s="34" t="inlineStr">
        <is>
          <t>Quản trị dịch vụ du lịch và lữ hành</t>
        </is>
      </c>
    </row>
    <row r="27">
      <c r="A27" s="34" t="n">
        <v>17</v>
      </c>
      <c r="B27" s="34" t="inlineStr">
        <is>
          <t>7810201</t>
        </is>
      </c>
      <c r="C27" s="34" t="inlineStr">
        <is>
          <t>Quản trị khách sạn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ufm.edu.vn/" r:id="rId2"/>
    <hyperlink xmlns:r="http://schemas.openxmlformats.org/officeDocument/2006/relationships" ref="B6" display="https://tuyensinh.ufm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5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Ngân hàng TP.HCM (HUB)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https://hub.edu.vn/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https://tuyensinh.hub.edu.vn/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2025-2026. Nguồn: các trang tuyển sinh HUB.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7340201</t>
        </is>
      </c>
      <c r="C11" s="34" t="inlineStr">
        <is>
          <t>Tài chính – Ngân hàng</t>
        </is>
      </c>
    </row>
    <row r="12">
      <c r="A12" s="34" t="n">
        <v>2</v>
      </c>
      <c r="B12" s="34" t="inlineStr">
        <is>
          <t>7340205</t>
        </is>
      </c>
      <c r="C12" s="34" t="inlineStr">
        <is>
          <t>Công nghệ tài chính</t>
        </is>
      </c>
    </row>
    <row r="13">
      <c r="A13" s="34" t="n">
        <v>3</v>
      </c>
      <c r="B13" s="34" t="inlineStr">
        <is>
          <t>7340101</t>
        </is>
      </c>
      <c r="C13" s="34" t="inlineStr">
        <is>
          <t>Quản trị kinh doanh</t>
        </is>
      </c>
    </row>
    <row r="14">
      <c r="A14" s="34" t="n">
        <v>4</v>
      </c>
      <c r="B14" s="34" t="inlineStr">
        <is>
          <t>7340115</t>
        </is>
      </c>
      <c r="C14" s="34" t="inlineStr">
        <is>
          <t>Marketing</t>
        </is>
      </c>
    </row>
    <row r="15">
      <c r="A15" s="34" t="n">
        <v>5</v>
      </c>
      <c r="B15" s="34" t="inlineStr">
        <is>
          <t>7510605</t>
        </is>
      </c>
      <c r="C15" s="34" t="inlineStr">
        <is>
          <t>Logistics và Quản lý chuỗi cung ứng</t>
        </is>
      </c>
    </row>
    <row r="16">
      <c r="A16" s="34" t="n">
        <v>6</v>
      </c>
      <c r="B16" s="34" t="inlineStr">
        <is>
          <t>7340301</t>
        </is>
      </c>
      <c r="C16" s="34" t="inlineStr">
        <is>
          <t>Kế toán</t>
        </is>
      </c>
    </row>
    <row r="17">
      <c r="A17" s="34" t="n">
        <v>7</v>
      </c>
      <c r="B17" s="34" t="inlineStr">
        <is>
          <t>7340302</t>
        </is>
      </c>
      <c r="C17" s="34" t="inlineStr">
        <is>
          <t>Kiểm toán</t>
        </is>
      </c>
    </row>
    <row r="18">
      <c r="A18" s="34" t="n">
        <v>8</v>
      </c>
      <c r="B18" s="34" t="inlineStr">
        <is>
          <t>7340120</t>
        </is>
      </c>
      <c r="C18" s="34" t="inlineStr">
        <is>
          <t>Kinh doanh quốc tế</t>
        </is>
      </c>
    </row>
    <row r="19">
      <c r="A19" s="34" t="n">
        <v>9</v>
      </c>
      <c r="B19" s="34" t="inlineStr">
        <is>
          <t>7310106</t>
        </is>
      </c>
      <c r="C19" s="34" t="inlineStr">
        <is>
          <t>Kinh tế quốc tế</t>
        </is>
      </c>
    </row>
    <row r="20">
      <c r="A20" s="34" t="n">
        <v>10</v>
      </c>
      <c r="B20" s="34" t="inlineStr">
        <is>
          <t>7340405</t>
        </is>
      </c>
      <c r="C20" s="34" t="inlineStr">
        <is>
          <t>Hệ thống thông tin quản lý</t>
        </is>
      </c>
    </row>
    <row r="21">
      <c r="A21" s="34" t="n">
        <v>11</v>
      </c>
      <c r="B21" s="34" t="inlineStr">
        <is>
          <t>7480201</t>
        </is>
      </c>
      <c r="C21" s="34" t="inlineStr">
        <is>
          <t>Công nghệ thông tin</t>
        </is>
      </c>
    </row>
    <row r="22">
      <c r="A22" s="34" t="n">
        <v>12</v>
      </c>
      <c r="B22" s="34" t="inlineStr">
        <is>
          <t>7340122</t>
        </is>
      </c>
      <c r="C22" s="34" t="inlineStr">
        <is>
          <t>Thương mại điện tử</t>
        </is>
      </c>
    </row>
    <row r="23">
      <c r="A23" s="34" t="n">
        <v>13</v>
      </c>
      <c r="B23" s="34" t="inlineStr">
        <is>
          <t>7220201</t>
        </is>
      </c>
      <c r="C23" s="34" t="inlineStr">
        <is>
          <t>Ngôn ngữ Anh</t>
        </is>
      </c>
    </row>
    <row r="24">
      <c r="A24" s="34" t="n">
        <v>14</v>
      </c>
      <c r="B24" s="34" t="inlineStr">
        <is>
          <t>7380107</t>
        </is>
      </c>
      <c r="C24" s="34" t="inlineStr">
        <is>
          <t>Luật kinh tế</t>
        </is>
      </c>
    </row>
    <row r="25">
      <c r="A25" s="34" t="n">
        <v>15</v>
      </c>
      <c r="B25" s="34" t="inlineStr">
        <is>
          <t>7460108</t>
        </is>
      </c>
      <c r="C25" s="34" t="inlineStr">
        <is>
          <t>Khoa học dữ liệu</t>
        </is>
      </c>
    </row>
    <row r="26">
      <c r="A26" s="34" t="n">
        <v>16</v>
      </c>
      <c r="B26" s="34" t="inlineStr">
        <is>
          <t>7480107</t>
        </is>
      </c>
      <c r="C26" s="34" t="inlineStr">
        <is>
          <t>Trí tuệ nhân tạo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ub.edu.vn/" r:id="rId2"/>
    <hyperlink xmlns:r="http://schemas.openxmlformats.org/officeDocument/2006/relationships" ref="B6" display="https://tuyensinh.hub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6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Đại học Luật TP.HCM (ULAW)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https://hcmulaw.edu.vn/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https://tuyensinh.hcmulaw.edu.vn/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các trang tuyển sinh ULAW.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7380101</t>
        </is>
      </c>
      <c r="C11" s="34" t="inlineStr">
        <is>
          <t>Luật</t>
        </is>
      </c>
    </row>
    <row r="12">
      <c r="A12" s="34" t="n">
        <v>2</v>
      </c>
      <c r="B12" s="34" t="inlineStr">
        <is>
          <t>7380107</t>
        </is>
      </c>
      <c r="C12" s="34" t="inlineStr">
        <is>
          <t>Luật thương mại quốc tế / Luật kinh tế</t>
        </is>
      </c>
    </row>
    <row r="13">
      <c r="A13" s="34" t="n">
        <v>3</v>
      </c>
      <c r="B13" s="34" t="inlineStr">
        <is>
          <t>7340101</t>
        </is>
      </c>
      <c r="C13" s="34" t="inlineStr">
        <is>
          <t>Quản trị kinh doanh</t>
        </is>
      </c>
    </row>
    <row r="14">
      <c r="A14" s="34" t="n">
        <v>4</v>
      </c>
      <c r="B14" s="34" t="inlineStr">
        <is>
          <t>7340102</t>
        </is>
      </c>
      <c r="C14" s="34" t="inlineStr">
        <is>
          <t>Quản trị - Luật</t>
        </is>
      </c>
    </row>
    <row r="15">
      <c r="A15" s="34" t="n">
        <v>5</v>
      </c>
      <c r="B15" s="34" t="inlineStr">
        <is>
          <t>7220201</t>
        </is>
      </c>
      <c r="C15" s="34" t="inlineStr">
        <is>
          <t>Ngôn ngữ Anh (tiếng Anh pháp lý)</t>
        </is>
      </c>
    </row>
    <row r="16">
      <c r="A16" s="34" t="n">
        <v>6</v>
      </c>
      <c r="B16" s="34" t="inlineStr">
        <is>
          <t>7220204</t>
        </is>
      </c>
      <c r="C16" s="34" t="inlineStr">
        <is>
          <t>Ngôn ngữ Trung Quốc</t>
        </is>
      </c>
    </row>
    <row r="17">
      <c r="A17" s="34" t="n">
        <v>7</v>
      </c>
      <c r="B17" s="34" t="inlineStr">
        <is>
          <t>7310109</t>
        </is>
      </c>
      <c r="C17" s="34" t="inlineStr">
        <is>
          <t>Kinh tế số</t>
        </is>
      </c>
    </row>
    <row r="18">
      <c r="A18" s="34" t="n">
        <v>8</v>
      </c>
      <c r="B18" s="34" t="inlineStr">
        <is>
          <t>7340120</t>
        </is>
      </c>
      <c r="C18" s="34" t="inlineStr">
        <is>
          <t>Kinh doanh quốc tế</t>
        </is>
      </c>
    </row>
    <row r="19">
      <c r="A19" s="34" t="n">
        <v>9</v>
      </c>
      <c r="B19" s="34" t="inlineStr">
        <is>
          <t>7340122</t>
        </is>
      </c>
      <c r="C19" s="34" t="inlineStr">
        <is>
          <t>Thương mại điện tử</t>
        </is>
      </c>
    </row>
    <row r="20">
      <c r="A20" s="34" t="n">
        <v>10</v>
      </c>
      <c r="B20" s="34" t="inlineStr">
        <is>
          <t>7340201</t>
        </is>
      </c>
      <c r="C20" s="34" t="inlineStr">
        <is>
          <t>Tài chính - Ngân hàng</t>
        </is>
      </c>
    </row>
    <row r="21">
      <c r="A21" s="34" t="n">
        <v>11</v>
      </c>
      <c r="B21" s="34" t="inlineStr">
        <is>
          <t>7340205</t>
        </is>
      </c>
      <c r="C21" s="34" t="inlineStr">
        <is>
          <t>Công nghệ tài chính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cmulaw.edu.vn/" r:id="rId2"/>
    <hyperlink xmlns:r="http://schemas.openxmlformats.org/officeDocument/2006/relationships" ref="B6" display="https://tuyensinh.hcmulaw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7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Kiến trúc TP.HCM (UAH)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https://uah.edu.vn/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https://tuyensinh.uah.edu.vn/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đề án tuyển sinh UAH.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7210110</t>
        </is>
      </c>
      <c r="C11" s="34" t="inlineStr">
        <is>
          <t>Mỹ thuật đô thị</t>
        </is>
      </c>
    </row>
    <row r="12">
      <c r="A12" s="34" t="n">
        <v>2</v>
      </c>
      <c r="B12" s="34" t="inlineStr">
        <is>
          <t>7210402</t>
        </is>
      </c>
      <c r="C12" s="34" t="inlineStr">
        <is>
          <t>Thiết kế công nghiệp</t>
        </is>
      </c>
    </row>
    <row r="13">
      <c r="A13" s="34" t="n">
        <v>3</v>
      </c>
      <c r="B13" s="34" t="inlineStr">
        <is>
          <t>7210403</t>
        </is>
      </c>
      <c r="C13" s="34" t="inlineStr">
        <is>
          <t>Thiết kế đồ họa</t>
        </is>
      </c>
    </row>
    <row r="14">
      <c r="A14" s="34" t="n">
        <v>4</v>
      </c>
      <c r="B14" s="34" t="inlineStr">
        <is>
          <t>7210404</t>
        </is>
      </c>
      <c r="C14" s="34" t="inlineStr">
        <is>
          <t>Thiết kế thời trang</t>
        </is>
      </c>
    </row>
    <row r="15">
      <c r="A15" s="34" t="n">
        <v>5</v>
      </c>
      <c r="B15" s="34" t="inlineStr">
        <is>
          <t>7580101</t>
        </is>
      </c>
      <c r="C15" s="34" t="inlineStr">
        <is>
          <t>Kiến trúc</t>
        </is>
      </c>
    </row>
    <row r="16">
      <c r="A16" s="34" t="n">
        <v>6</v>
      </c>
      <c r="B16" s="34" t="inlineStr">
        <is>
          <t>7580102</t>
        </is>
      </c>
      <c r="C16" s="34" t="inlineStr">
        <is>
          <t>Kiến trúc cảnh quan</t>
        </is>
      </c>
    </row>
    <row r="17">
      <c r="A17" s="34" t="n">
        <v>7</v>
      </c>
      <c r="B17" s="34" t="inlineStr">
        <is>
          <t>7580105</t>
        </is>
      </c>
      <c r="C17" s="34" t="inlineStr">
        <is>
          <t>Quy hoạch vùng và đô thị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uah.edu.vn/" r:id="rId2"/>
    <hyperlink xmlns:r="http://schemas.openxmlformats.org/officeDocument/2006/relationships" ref="B6" display="https://tuyensinh.uah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8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Mỹ thuật TP.HCM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https://hufa.edu.vn/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https://tuyensinh.hufa.edu.vn/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thông tin tuyển sinh.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7210103</t>
        </is>
      </c>
      <c r="C11" s="34" t="inlineStr">
        <is>
          <t>Hội họa</t>
        </is>
      </c>
    </row>
    <row r="12">
      <c r="A12" s="34" t="n">
        <v>2</v>
      </c>
      <c r="B12" s="34" t="inlineStr">
        <is>
          <t>7210104</t>
        </is>
      </c>
      <c r="C12" s="34" t="inlineStr">
        <is>
          <t>Đồ họa</t>
        </is>
      </c>
    </row>
    <row r="13">
      <c r="A13" s="34" t="n">
        <v>3</v>
      </c>
      <c r="B13" s="34" t="inlineStr">
        <is>
          <t>7210105</t>
        </is>
      </c>
      <c r="C13" s="34" t="inlineStr">
        <is>
          <t>Điêu khắc</t>
        </is>
      </c>
    </row>
    <row r="14">
      <c r="A14" s="34" t="n">
        <v>4</v>
      </c>
      <c r="B14" s="34" t="inlineStr">
        <is>
          <t>7210101</t>
        </is>
      </c>
      <c r="C14" s="34" t="inlineStr">
        <is>
          <t>Lý luận, lịch sử và phê bình mỹ thuật</t>
        </is>
      </c>
    </row>
    <row r="15">
      <c r="A15" s="34" t="n">
        <v>5</v>
      </c>
      <c r="B15" s="34" t="inlineStr">
        <is>
          <t>7210403</t>
        </is>
      </c>
      <c r="C15" s="34" t="inlineStr">
        <is>
          <t>Thiết kế đồ họa</t>
        </is>
      </c>
    </row>
    <row r="16">
      <c r="A16" s="34" t="n">
        <v>6</v>
      </c>
      <c r="B16" s="34" t="inlineStr">
        <is>
          <t>7140222</t>
        </is>
      </c>
      <c r="C16" s="34" t="inlineStr">
        <is>
          <t>Sư phạm mỹ thuật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ufa.edu.vn/" r:id="rId2"/>
    <hyperlink xmlns:r="http://schemas.openxmlformats.org/officeDocument/2006/relationships" ref="B6" display="https://tuyensinh.hufa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9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Văn hóa TP.HCM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https://hcmuc.edu.vn/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https://tuyensinh.hcmuc.edu.vn/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2025-2026. Nguồn: các trang tuyển sinh.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7320201</t>
        </is>
      </c>
      <c r="C11" s="34" t="inlineStr">
        <is>
          <t>Thông tin - Thư viện</t>
        </is>
      </c>
    </row>
    <row r="12">
      <c r="A12" s="34" t="n">
        <v>2</v>
      </c>
      <c r="B12" s="34" t="inlineStr">
        <is>
          <t>7320305</t>
        </is>
      </c>
      <c r="C12" s="34" t="inlineStr">
        <is>
          <t>Bảo tàng học</t>
        </is>
      </c>
    </row>
    <row r="13">
      <c r="A13" s="34" t="n">
        <v>3</v>
      </c>
      <c r="B13" s="34" t="inlineStr">
        <is>
          <t>7810101</t>
        </is>
      </c>
      <c r="C13" s="34" t="inlineStr">
        <is>
          <t>Du lịch</t>
        </is>
      </c>
    </row>
    <row r="14">
      <c r="A14" s="34" t="n">
        <v>4</v>
      </c>
      <c r="B14" s="34" t="inlineStr">
        <is>
          <t>7810103</t>
        </is>
      </c>
      <c r="C14" s="34" t="inlineStr">
        <is>
          <t>Quản trị dịch vụ du lịch và lữ hành</t>
        </is>
      </c>
    </row>
    <row r="15">
      <c r="A15" s="34" t="n">
        <v>5</v>
      </c>
      <c r="B15" s="34" t="inlineStr">
        <is>
          <t>7320402</t>
        </is>
      </c>
      <c r="C15" s="34" t="inlineStr">
        <is>
          <t>Kinh doanh xuất bản phẩm</t>
        </is>
      </c>
    </row>
    <row r="16">
      <c r="A16" s="34" t="n">
        <v>6</v>
      </c>
      <c r="B16" s="34" t="inlineStr">
        <is>
          <t>7229042</t>
        </is>
      </c>
      <c r="C16" s="34" t="inlineStr">
        <is>
          <t>Quản lý văn hóa</t>
        </is>
      </c>
    </row>
    <row r="17">
      <c r="A17" s="34" t="n">
        <v>7</v>
      </c>
      <c r="B17" s="34" t="inlineStr">
        <is>
          <t>7229040</t>
        </is>
      </c>
      <c r="C17" s="34" t="inlineStr">
        <is>
          <t>Văn hóa học</t>
        </is>
      </c>
    </row>
    <row r="18">
      <c r="A18" s="34" t="n">
        <v>8</v>
      </c>
      <c r="B18" s="34" t="inlineStr">
        <is>
          <t>7220112</t>
        </is>
      </c>
      <c r="C18" s="34" t="inlineStr">
        <is>
          <t>Văn hóa các dân tộc thiểu số Việt Nam</t>
        </is>
      </c>
    </row>
    <row r="19">
      <c r="A19" s="34" t="n">
        <v>9</v>
      </c>
      <c r="B19" s="34" t="inlineStr">
        <is>
          <t>7229047</t>
        </is>
      </c>
      <c r="C19" s="34" t="inlineStr">
        <is>
          <t>Di sản học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cmuc.edu.vn/" r:id="rId2"/>
    <hyperlink xmlns:r="http://schemas.openxmlformats.org/officeDocument/2006/relationships" ref="B6" display="https://tuyensinh.hcmuc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0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Đại học Y Dược TP.HCM (UMP)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https://ump.edu.vn/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https://tuyensinh.ump.edu.vn/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các trang tuyển sinh UMP.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7720101</t>
        </is>
      </c>
      <c r="C11" s="34" t="inlineStr">
        <is>
          <t>Y khoa</t>
        </is>
      </c>
    </row>
    <row r="12">
      <c r="A12" s="34" t="n">
        <v>2</v>
      </c>
      <c r="B12" s="34" t="inlineStr">
        <is>
          <t>7720110</t>
        </is>
      </c>
      <c r="C12" s="34" t="inlineStr">
        <is>
          <t>Y học dự phòng</t>
        </is>
      </c>
    </row>
    <row r="13">
      <c r="A13" s="34" t="n">
        <v>3</v>
      </c>
      <c r="B13" s="34" t="inlineStr">
        <is>
          <t>7720115</t>
        </is>
      </c>
      <c r="C13" s="34" t="inlineStr">
        <is>
          <t>Y học cổ truyền</t>
        </is>
      </c>
    </row>
    <row r="14">
      <c r="A14" s="34" t="n">
        <v>4</v>
      </c>
      <c r="B14" s="34" t="inlineStr">
        <is>
          <t>7720201</t>
        </is>
      </c>
      <c r="C14" s="34" t="inlineStr">
        <is>
          <t>Dược học</t>
        </is>
      </c>
    </row>
    <row r="15">
      <c r="A15" s="34" t="n">
        <v>5</v>
      </c>
      <c r="B15" s="34" t="inlineStr">
        <is>
          <t>7720301</t>
        </is>
      </c>
      <c r="C15" s="34" t="inlineStr">
        <is>
          <t>Điều dưỡng</t>
        </is>
      </c>
    </row>
    <row r="16">
      <c r="A16" s="34" t="n">
        <v>6</v>
      </c>
      <c r="B16" s="34" t="inlineStr">
        <is>
          <t>7720302</t>
        </is>
      </c>
      <c r="C16" s="34" t="inlineStr">
        <is>
          <t>Hộ sinh</t>
        </is>
      </c>
    </row>
    <row r="17">
      <c r="A17" s="34" t="n">
        <v>7</v>
      </c>
      <c r="B17" s="34" t="inlineStr">
        <is>
          <t>7720401</t>
        </is>
      </c>
      <c r="C17" s="34" t="inlineStr">
        <is>
          <t>Dinh dưỡng</t>
        </is>
      </c>
    </row>
    <row r="18">
      <c r="A18" s="34" t="n">
        <v>8</v>
      </c>
      <c r="B18" s="34" t="inlineStr">
        <is>
          <t>7720501</t>
        </is>
      </c>
      <c r="C18" s="34" t="inlineStr">
        <is>
          <t>Răng – Hàm – Mặt</t>
        </is>
      </c>
    </row>
    <row r="19">
      <c r="A19" s="34" t="n">
        <v>9</v>
      </c>
      <c r="B19" s="34" t="inlineStr">
        <is>
          <t>7720502</t>
        </is>
      </c>
      <c r="C19" s="34" t="inlineStr">
        <is>
          <t>Kỹ thuật phục hình răng</t>
        </is>
      </c>
    </row>
    <row r="20">
      <c r="A20" s="34" t="n">
        <v>10</v>
      </c>
      <c r="B20" s="34" t="inlineStr">
        <is>
          <t>7720601</t>
        </is>
      </c>
      <c r="C20" s="34" t="inlineStr">
        <is>
          <t>Kỹ thuật Xét nghiệm Y học</t>
        </is>
      </c>
    </row>
    <row r="21">
      <c r="A21" s="34" t="n">
        <v>11</v>
      </c>
      <c r="B21" s="34" t="inlineStr">
        <is>
          <t>7720602</t>
        </is>
      </c>
      <c r="C21" s="34" t="inlineStr">
        <is>
          <t>Kỹ thuật Hình ảnh Y học</t>
        </is>
      </c>
    </row>
    <row r="22">
      <c r="A22" s="34" t="n">
        <v>12</v>
      </c>
      <c r="B22" s="34" t="inlineStr">
        <is>
          <t>7720603</t>
        </is>
      </c>
      <c r="C22" s="34" t="inlineStr">
        <is>
          <t>Kỹ thuật Phục hồi chức năng</t>
        </is>
      </c>
    </row>
    <row r="23">
      <c r="A23" s="34" t="n">
        <v>13</v>
      </c>
      <c r="B23" s="34" t="inlineStr">
        <is>
          <t>7720701</t>
        </is>
      </c>
      <c r="C23" s="34" t="inlineStr">
        <is>
          <t>Y tế công cộng</t>
        </is>
      </c>
    </row>
    <row r="24">
      <c r="A24" s="34" t="n">
        <v>14</v>
      </c>
      <c r="B24" s="34" t="inlineStr">
        <is>
          <t>7720203</t>
        </is>
      </c>
      <c r="C24" s="34" t="inlineStr">
        <is>
          <t>Hóa dược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ump.edu.vn/" r:id="rId2"/>
    <hyperlink xmlns:r="http://schemas.openxmlformats.org/officeDocument/2006/relationships" ref="B6" display="https://tuyensinh.ump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1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Y khoa Phạm Ngọc Thạch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https://pnt.edu.vn/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https://tuyensinh.pnt.edu.vn/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thông tin tuyển sinh PNT.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7720101</t>
        </is>
      </c>
      <c r="C11" s="34" t="inlineStr">
        <is>
          <t>Y khoa</t>
        </is>
      </c>
    </row>
    <row r="12">
      <c r="A12" s="34" t="n">
        <v>2</v>
      </c>
      <c r="B12" s="34" t="inlineStr">
        <is>
          <t>7720115</t>
        </is>
      </c>
      <c r="C12" s="34" t="inlineStr">
        <is>
          <t>Y học cổ truyền</t>
        </is>
      </c>
    </row>
    <row r="13">
      <c r="A13" s="34" t="n">
        <v>3</v>
      </c>
      <c r="B13" s="34" t="inlineStr">
        <is>
          <t>7720201</t>
        </is>
      </c>
      <c r="C13" s="34" t="inlineStr">
        <is>
          <t>Dược học</t>
        </is>
      </c>
    </row>
    <row r="14">
      <c r="A14" s="34" t="n">
        <v>4</v>
      </c>
      <c r="B14" s="34" t="inlineStr">
        <is>
          <t>7720301</t>
        </is>
      </c>
      <c r="C14" s="34" t="inlineStr">
        <is>
          <t>Điều dưỡng</t>
        </is>
      </c>
    </row>
    <row r="15">
      <c r="A15" s="34" t="n">
        <v>5</v>
      </c>
      <c r="B15" s="34" t="inlineStr">
        <is>
          <t>7720302</t>
        </is>
      </c>
      <c r="C15" s="34" t="inlineStr">
        <is>
          <t>Hộ sinh</t>
        </is>
      </c>
    </row>
    <row r="16">
      <c r="A16" s="34" t="n">
        <v>6</v>
      </c>
      <c r="B16" s="34" t="inlineStr">
        <is>
          <t>7720401</t>
        </is>
      </c>
      <c r="C16" s="34" t="inlineStr">
        <is>
          <t>Dinh dưỡng</t>
        </is>
      </c>
    </row>
    <row r="17">
      <c r="A17" s="34" t="n">
        <v>7</v>
      </c>
      <c r="B17" s="34" t="inlineStr">
        <is>
          <t>7720501</t>
        </is>
      </c>
      <c r="C17" s="34" t="inlineStr">
        <is>
          <t>Răng Hàm Mặt</t>
        </is>
      </c>
    </row>
    <row r="18">
      <c r="A18" s="34" t="n">
        <v>8</v>
      </c>
      <c r="B18" s="34" t="inlineStr">
        <is>
          <t>7720601</t>
        </is>
      </c>
      <c r="C18" s="34" t="inlineStr">
        <is>
          <t>Kỹ thuật xét nghiệm y học</t>
        </is>
      </c>
    </row>
    <row r="19">
      <c r="A19" s="34" t="n">
        <v>9</v>
      </c>
      <c r="B19" s="34" t="inlineStr">
        <is>
          <t>7720602</t>
        </is>
      </c>
      <c r="C19" s="34" t="inlineStr">
        <is>
          <t>Kỹ thuật hình ảnh y học</t>
        </is>
      </c>
    </row>
    <row r="20">
      <c r="A20" s="34" t="n">
        <v>10</v>
      </c>
      <c r="B20" s="34" t="inlineStr">
        <is>
          <t>7720603</t>
        </is>
      </c>
      <c r="C20" s="34" t="inlineStr">
        <is>
          <t>Kỹ thuật phục hồi chức năng</t>
        </is>
      </c>
    </row>
    <row r="21">
      <c r="A21" s="34" t="n">
        <v>11</v>
      </c>
      <c r="B21" s="34" t="inlineStr">
        <is>
          <t>7720609</t>
        </is>
      </c>
      <c r="C21" s="34" t="inlineStr">
        <is>
          <t>Khúc xạ nhãn khoa</t>
        </is>
      </c>
    </row>
    <row r="22">
      <c r="A22" s="34" t="n">
        <v>12</v>
      </c>
      <c r="B22" s="34" t="inlineStr">
        <is>
          <t>7720610</t>
        </is>
      </c>
      <c r="C22" s="34" t="inlineStr">
        <is>
          <t>Kỹ thuật gây mê hồi sức</t>
        </is>
      </c>
    </row>
    <row r="23">
      <c r="A23" s="34" t="n">
        <v>13</v>
      </c>
      <c r="B23" s="34" t="inlineStr">
        <is>
          <t>7720701</t>
        </is>
      </c>
      <c r="C23" s="34" t="inlineStr">
        <is>
          <t>Y tế công cộng</t>
        </is>
      </c>
    </row>
    <row r="24">
      <c r="A24" s="34" t="n">
        <v>14</v>
      </c>
      <c r="B24" s="34" t="inlineStr">
        <is>
          <t>7310401</t>
        </is>
      </c>
      <c r="C24" s="34" t="inlineStr">
        <is>
          <t>Tâm lý học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pnt.edu.vn/" r:id="rId2"/>
    <hyperlink xmlns:r="http://schemas.openxmlformats.org/officeDocument/2006/relationships" ref="B6" display="https://tuyensinh.pnt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2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Nông Lâm TP.HCM (NLU)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https://hcmuaf.edu.vn/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https://tuyensinh.hcmuaf.edu.vn/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các trang tuyển sinh NLU.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7220201</t>
        </is>
      </c>
      <c r="C11" s="34" t="inlineStr">
        <is>
          <t>Ngôn ngữ Anh</t>
        </is>
      </c>
    </row>
    <row r="12">
      <c r="A12" s="34" t="n">
        <v>2</v>
      </c>
      <c r="B12" s="34" t="inlineStr">
        <is>
          <t>7310101</t>
        </is>
      </c>
      <c r="C12" s="34" t="inlineStr">
        <is>
          <t>Kinh tế</t>
        </is>
      </c>
    </row>
    <row r="13">
      <c r="A13" s="34" t="n">
        <v>3</v>
      </c>
      <c r="B13" s="34" t="inlineStr">
        <is>
          <t>7340101</t>
        </is>
      </c>
      <c r="C13" s="34" t="inlineStr">
        <is>
          <t>Quản trị kinh doanh</t>
        </is>
      </c>
    </row>
    <row r="14">
      <c r="A14" s="34" t="n">
        <v>4</v>
      </c>
      <c r="B14" s="34" t="inlineStr">
        <is>
          <t>7340116</t>
        </is>
      </c>
      <c r="C14" s="34" t="inlineStr">
        <is>
          <t>Bất động sản</t>
        </is>
      </c>
    </row>
    <row r="15">
      <c r="A15" s="34" t="n">
        <v>5</v>
      </c>
      <c r="B15" s="34" t="inlineStr">
        <is>
          <t>7340301</t>
        </is>
      </c>
      <c r="C15" s="34" t="inlineStr">
        <is>
          <t>Kế toán</t>
        </is>
      </c>
    </row>
    <row r="16">
      <c r="A16" s="34" t="n">
        <v>6</v>
      </c>
      <c r="B16" s="34" t="inlineStr">
        <is>
          <t>7420201</t>
        </is>
      </c>
      <c r="C16" s="34" t="inlineStr">
        <is>
          <t>Công nghệ sinh học</t>
        </is>
      </c>
    </row>
    <row r="17">
      <c r="A17" s="34" t="n">
        <v>7</v>
      </c>
      <c r="B17" s="34" t="inlineStr">
        <is>
          <t>7440301</t>
        </is>
      </c>
      <c r="C17" s="34" t="inlineStr">
        <is>
          <t>Khoa học môi trường</t>
        </is>
      </c>
    </row>
    <row r="18">
      <c r="A18" s="34" t="n">
        <v>8</v>
      </c>
      <c r="B18" s="34" t="inlineStr">
        <is>
          <t>7480201</t>
        </is>
      </c>
      <c r="C18" s="34" t="inlineStr">
        <is>
          <t>Công nghệ thông tin</t>
        </is>
      </c>
    </row>
    <row r="19">
      <c r="A19" s="34" t="n">
        <v>9</v>
      </c>
      <c r="B19" s="34" t="inlineStr">
        <is>
          <t>7510201</t>
        </is>
      </c>
      <c r="C19" s="34" t="inlineStr">
        <is>
          <t>Công nghệ kỹ thuật cơ khí</t>
        </is>
      </c>
    </row>
    <row r="20">
      <c r="A20" s="34" t="n">
        <v>10</v>
      </c>
      <c r="B20" s="34" t="inlineStr">
        <is>
          <t>7510203</t>
        </is>
      </c>
      <c r="C20" s="34" t="inlineStr">
        <is>
          <t>Công nghệ kỹ thuật cơ điện tử</t>
        </is>
      </c>
    </row>
    <row r="21">
      <c r="A21" s="34" t="n">
        <v>11</v>
      </c>
      <c r="B21" s="34" t="inlineStr">
        <is>
          <t>7510205</t>
        </is>
      </c>
      <c r="C21" s="34" t="inlineStr">
        <is>
          <t>Công nghệ kỹ thuật ô tô</t>
        </is>
      </c>
    </row>
    <row r="22">
      <c r="A22" s="34" t="n">
        <v>12</v>
      </c>
      <c r="B22" s="34" t="inlineStr">
        <is>
          <t>7510401</t>
        </is>
      </c>
      <c r="C22" s="34" t="inlineStr">
        <is>
          <t>Công nghệ kỹ thuật hoá học</t>
        </is>
      </c>
    </row>
    <row r="23">
      <c r="A23" s="34" t="n">
        <v>13</v>
      </c>
      <c r="B23" s="34" t="inlineStr">
        <is>
          <t>7540101</t>
        </is>
      </c>
      <c r="C23" s="34" t="inlineStr">
        <is>
          <t>Công nghệ thực phẩm</t>
        </is>
      </c>
    </row>
    <row r="24">
      <c r="A24" s="34" t="n">
        <v>14</v>
      </c>
      <c r="B24" s="34" t="inlineStr">
        <is>
          <t>7620105</t>
        </is>
      </c>
      <c r="C24" s="34" t="inlineStr">
        <is>
          <t>Chăn nuôi</t>
        </is>
      </c>
    </row>
    <row r="25">
      <c r="A25" s="34" t="n">
        <v>15</v>
      </c>
      <c r="B25" s="34" t="inlineStr">
        <is>
          <t>7640101</t>
        </is>
      </c>
      <c r="C25" s="34" t="inlineStr">
        <is>
          <t>Thú y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cmuaf.edu.vn/" r:id="rId2"/>
    <hyperlink xmlns:r="http://schemas.openxmlformats.org/officeDocument/2006/relationships" ref="B6" display="https://tuyensinh.hcmuaf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3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Tài nguyên và Môi trường TP.HCM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https://hcmunre.edu.vn/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https://tuyensinh.hcmunre.edu.vn/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các trang tuyển sinh.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7340101</t>
        </is>
      </c>
      <c r="C11" s="34" t="inlineStr">
        <is>
          <t>Quản trị kinh doanh</t>
        </is>
      </c>
    </row>
    <row r="12">
      <c r="A12" s="34" t="n">
        <v>2</v>
      </c>
      <c r="B12" s="34" t="inlineStr">
        <is>
          <t>7340116</t>
        </is>
      </c>
      <c r="C12" s="34" t="inlineStr">
        <is>
          <t>Bất động sản</t>
        </is>
      </c>
    </row>
    <row r="13">
      <c r="A13" s="34" t="n">
        <v>3</v>
      </c>
      <c r="B13" s="34" t="inlineStr">
        <is>
          <t>7440201</t>
        </is>
      </c>
      <c r="C13" s="34" t="inlineStr">
        <is>
          <t>Địa chất học</t>
        </is>
      </c>
    </row>
    <row r="14">
      <c r="A14" s="34" t="n">
        <v>4</v>
      </c>
      <c r="B14" s="34" t="inlineStr">
        <is>
          <t>7440221</t>
        </is>
      </c>
      <c r="C14" s="34" t="inlineStr">
        <is>
          <t>Biến đổi khí hậu</t>
        </is>
      </c>
    </row>
    <row r="15">
      <c r="A15" s="34" t="n">
        <v>5</v>
      </c>
      <c r="B15" s="34" t="inlineStr">
        <is>
          <t>7440222</t>
        </is>
      </c>
      <c r="C15" s="34" t="inlineStr">
        <is>
          <t>Khí tượng và Khí hậu học</t>
        </is>
      </c>
    </row>
    <row r="16">
      <c r="A16" s="34" t="n">
        <v>6</v>
      </c>
      <c r="B16" s="34" t="inlineStr">
        <is>
          <t>7440224</t>
        </is>
      </c>
      <c r="C16" s="34" t="inlineStr">
        <is>
          <t>Thủy văn học</t>
        </is>
      </c>
    </row>
    <row r="17">
      <c r="A17" s="34" t="n">
        <v>7</v>
      </c>
      <c r="B17" s="34" t="inlineStr">
        <is>
          <t>7480104</t>
        </is>
      </c>
      <c r="C17" s="34" t="inlineStr">
        <is>
          <t>Hệ thống thông tin</t>
        </is>
      </c>
    </row>
    <row r="18">
      <c r="A18" s="34" t="n">
        <v>8</v>
      </c>
      <c r="B18" s="34" t="inlineStr">
        <is>
          <t>7440301</t>
        </is>
      </c>
      <c r="C18" s="34" t="inlineStr">
        <is>
          <t>Khoa học môi trường</t>
        </is>
      </c>
    </row>
    <row r="19">
      <c r="A19" s="34" t="n">
        <v>9</v>
      </c>
      <c r="B19" s="34" t="inlineStr">
        <is>
          <t>7520320</t>
        </is>
      </c>
      <c r="C19" s="34" t="inlineStr">
        <is>
          <t>Kỹ thuật môi trường</t>
        </is>
      </c>
    </row>
    <row r="20">
      <c r="A20" s="34" t="n">
        <v>10</v>
      </c>
      <c r="B20" s="34" t="inlineStr">
        <is>
          <t>7850101</t>
        </is>
      </c>
      <c r="C20" s="34" t="inlineStr">
        <is>
          <t>Quản lý tài nguyên và môi trường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cmunre.edu.vn/" r:id="rId2"/>
    <hyperlink xmlns:r="http://schemas.openxmlformats.org/officeDocument/2006/relationships" ref="B6" display="https://tuyensinh.hcmunre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4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Công nghệ TP.HCM (HUTECH)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https://hutech.edu.vn/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https://tuyensinh.hutech.edu.vn/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2025-2026. Nguồn: các trang tuyển sinh HUTECH.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7480202</t>
        </is>
      </c>
      <c r="C11" s="34" t="inlineStr">
        <is>
          <t>An toàn thông tin</t>
        </is>
      </c>
    </row>
    <row r="12">
      <c r="A12" s="34" t="n">
        <v>2</v>
      </c>
      <c r="B12" s="34" t="inlineStr">
        <is>
          <t>7510205</t>
        </is>
      </c>
      <c r="C12" s="34" t="inlineStr">
        <is>
          <t>Công nghệ kỹ thuật ô tô</t>
        </is>
      </c>
    </row>
    <row r="13">
      <c r="A13" s="34" t="n">
        <v>3</v>
      </c>
      <c r="B13" s="34" t="inlineStr">
        <is>
          <t>7420201</t>
        </is>
      </c>
      <c r="C13" s="34" t="inlineStr">
        <is>
          <t>Công nghệ sinh học</t>
        </is>
      </c>
    </row>
    <row r="14">
      <c r="A14" s="34" t="n">
        <v>4</v>
      </c>
      <c r="B14" s="34" t="inlineStr">
        <is>
          <t>7480201</t>
        </is>
      </c>
      <c r="C14" s="34" t="inlineStr">
        <is>
          <t>Công nghệ thông tin</t>
        </is>
      </c>
    </row>
    <row r="15">
      <c r="A15" s="34" t="n">
        <v>5</v>
      </c>
      <c r="B15" s="34" t="inlineStr">
        <is>
          <t>7540101</t>
        </is>
      </c>
      <c r="C15" s="34" t="inlineStr">
        <is>
          <t>Công nghệ thực phẩm</t>
        </is>
      </c>
    </row>
    <row r="16">
      <c r="A16" s="34" t="n">
        <v>6</v>
      </c>
      <c r="B16" s="34" t="inlineStr">
        <is>
          <t>7720201</t>
        </is>
      </c>
      <c r="C16" s="34" t="inlineStr">
        <is>
          <t>Dược học</t>
        </is>
      </c>
    </row>
    <row r="17">
      <c r="A17" s="34" t="n">
        <v>7</v>
      </c>
      <c r="B17" s="34" t="inlineStr">
        <is>
          <t>7720301</t>
        </is>
      </c>
      <c r="C17" s="34" t="inlineStr">
        <is>
          <t>Điều dưỡng</t>
        </is>
      </c>
    </row>
    <row r="18">
      <c r="A18" s="34" t="n">
        <v>8</v>
      </c>
      <c r="B18" s="34" t="inlineStr">
        <is>
          <t>7340301</t>
        </is>
      </c>
      <c r="C18" s="34" t="inlineStr">
        <is>
          <t>Kế toán</t>
        </is>
      </c>
    </row>
    <row r="19">
      <c r="A19" s="34" t="n">
        <v>9</v>
      </c>
      <c r="B19" s="34" t="inlineStr">
        <is>
          <t>7580101</t>
        </is>
      </c>
      <c r="C19" s="34" t="inlineStr">
        <is>
          <t>Kiến trúc</t>
        </is>
      </c>
    </row>
    <row r="20">
      <c r="A20" s="34" t="n">
        <v>10</v>
      </c>
      <c r="B20" s="34" t="inlineStr">
        <is>
          <t>7340120</t>
        </is>
      </c>
      <c r="C20" s="34" t="inlineStr">
        <is>
          <t>Kinh doanh quốc tế</t>
        </is>
      </c>
    </row>
    <row r="21">
      <c r="A21" s="34" t="n">
        <v>11</v>
      </c>
      <c r="B21" s="34" t="inlineStr">
        <is>
          <t>7520114</t>
        </is>
      </c>
      <c r="C21" s="34" t="inlineStr">
        <is>
          <t>Kỹ thuật cơ điện tử</t>
        </is>
      </c>
    </row>
    <row r="22">
      <c r="A22" s="34" t="n">
        <v>12</v>
      </c>
      <c r="B22" s="34" t="inlineStr">
        <is>
          <t>7520103</t>
        </is>
      </c>
      <c r="C22" s="34" t="inlineStr">
        <is>
          <t>Kỹ thuật cơ khí</t>
        </is>
      </c>
    </row>
    <row r="23">
      <c r="A23" s="34" t="n">
        <v>13</v>
      </c>
      <c r="B23" s="34" t="inlineStr">
        <is>
          <t>7520201</t>
        </is>
      </c>
      <c r="C23" s="34" t="inlineStr">
        <is>
          <t>Kỹ thuật điện</t>
        </is>
      </c>
    </row>
    <row r="24">
      <c r="A24" s="34" t="n">
        <v>14</v>
      </c>
      <c r="B24" s="34" t="inlineStr">
        <is>
          <t>7520207</t>
        </is>
      </c>
      <c r="C24" s="34" t="inlineStr">
        <is>
          <t>Kỹ thuật điện tử - viễn thông</t>
        </is>
      </c>
    </row>
    <row r="25">
      <c r="A25" s="34" t="n">
        <v>15</v>
      </c>
      <c r="B25" s="34" t="inlineStr">
        <is>
          <t>7520216</t>
        </is>
      </c>
      <c r="C25" s="34" t="inlineStr">
        <is>
          <t>Kỹ thuật điều khiển và tự động hoá</t>
        </is>
      </c>
    </row>
    <row r="26">
      <c r="A26" s="34" t="n">
        <v>16</v>
      </c>
      <c r="B26" s="34" t="inlineStr">
        <is>
          <t>7580201</t>
        </is>
      </c>
      <c r="C26" s="34" t="inlineStr">
        <is>
          <t>Kỹ thuật xây dựng</t>
        </is>
      </c>
    </row>
    <row r="27">
      <c r="A27" s="34" t="n">
        <v>17</v>
      </c>
      <c r="B27" s="34" t="inlineStr">
        <is>
          <t>7510605</t>
        </is>
      </c>
      <c r="C27" s="34" t="inlineStr">
        <is>
          <t>Logistics và quản lý chuỗi cung ứng</t>
        </is>
      </c>
    </row>
    <row r="28">
      <c r="A28" s="34" t="n">
        <v>18</v>
      </c>
      <c r="B28" s="34" t="inlineStr">
        <is>
          <t>7380101</t>
        </is>
      </c>
      <c r="C28" s="34" t="inlineStr">
        <is>
          <t>Luật</t>
        </is>
      </c>
    </row>
    <row r="29">
      <c r="A29" s="34" t="n">
        <v>19</v>
      </c>
      <c r="B29" s="34" t="inlineStr">
        <is>
          <t>7340115</t>
        </is>
      </c>
      <c r="C29" s="34" t="inlineStr">
        <is>
          <t>Marketing</t>
        </is>
      </c>
    </row>
    <row r="30">
      <c r="A30" s="34" t="n">
        <v>20</v>
      </c>
      <c r="B30" s="34" t="inlineStr">
        <is>
          <t>7220201</t>
        </is>
      </c>
      <c r="C30" s="34" t="inlineStr">
        <is>
          <t>Ngôn ngữ Anh</t>
        </is>
      </c>
    </row>
    <row r="31">
      <c r="A31" s="34" t="n">
        <v>21</v>
      </c>
      <c r="B31" s="34" t="inlineStr">
        <is>
          <t>7340101</t>
        </is>
      </c>
      <c r="C31" s="34" t="inlineStr">
        <is>
          <t>Quản trị kinh doanh</t>
        </is>
      </c>
    </row>
    <row r="32">
      <c r="A32" s="34" t="n">
        <v>22</v>
      </c>
      <c r="B32" s="34" t="inlineStr">
        <is>
          <t>7340201</t>
        </is>
      </c>
      <c r="C32" s="34" t="inlineStr">
        <is>
          <t>Tài chính ngân hàng</t>
        </is>
      </c>
    </row>
    <row r="33">
      <c r="A33" s="34" t="n">
        <v>23</v>
      </c>
      <c r="B33" s="34" t="inlineStr">
        <is>
          <t>7340122</t>
        </is>
      </c>
      <c r="C33" s="34" t="inlineStr">
        <is>
          <t>Thương mại điện tử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utech.edu.vn/" r:id="rId2"/>
    <hyperlink xmlns:r="http://schemas.openxmlformats.org/officeDocument/2006/relationships" ref="B6" display="https://tuyensinh.hutech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5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Kinh tế - Tài chính TP.HCM (UEF)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https://uef.edu.vn/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https://tuyensinh.uef.edu.vn/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2025-2026. Nguồn: các trang tuyển sinh UEF.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7340101</t>
        </is>
      </c>
      <c r="C11" s="34" t="inlineStr">
        <is>
          <t>Quản trị kinh doanh</t>
        </is>
      </c>
    </row>
    <row r="12">
      <c r="A12" s="34" t="n">
        <v>2</v>
      </c>
      <c r="B12" s="34" t="inlineStr">
        <is>
          <t>7340120</t>
        </is>
      </c>
      <c r="C12" s="34" t="inlineStr">
        <is>
          <t>Kinh doanh quốc tế</t>
        </is>
      </c>
    </row>
    <row r="13">
      <c r="A13" s="34" t="n">
        <v>3</v>
      </c>
      <c r="B13" s="34" t="inlineStr">
        <is>
          <t>7340121</t>
        </is>
      </c>
      <c r="C13" s="34" t="inlineStr">
        <is>
          <t>Kinh doanh thương mại</t>
        </is>
      </c>
    </row>
    <row r="14">
      <c r="A14" s="34" t="n">
        <v>4</v>
      </c>
      <c r="B14" s="34" t="inlineStr">
        <is>
          <t>7340115</t>
        </is>
      </c>
      <c r="C14" s="34" t="inlineStr">
        <is>
          <t>Marketing</t>
        </is>
      </c>
    </row>
    <row r="15">
      <c r="A15" s="34" t="n">
        <v>5</v>
      </c>
      <c r="B15" s="34" t="inlineStr">
        <is>
          <t>7380107</t>
        </is>
      </c>
      <c r="C15" s="34" t="inlineStr">
        <is>
          <t>Luật kinh tế</t>
        </is>
      </c>
    </row>
    <row r="16">
      <c r="A16" s="34" t="n">
        <v>6</v>
      </c>
      <c r="B16" s="34" t="inlineStr">
        <is>
          <t>7380101</t>
        </is>
      </c>
      <c r="C16" s="34" t="inlineStr">
        <is>
          <t>Luật</t>
        </is>
      </c>
    </row>
    <row r="17">
      <c r="A17" s="34" t="n">
        <v>7</v>
      </c>
      <c r="B17" s="34" t="inlineStr">
        <is>
          <t>7340404</t>
        </is>
      </c>
      <c r="C17" s="34" t="inlineStr">
        <is>
          <t>Quản trị nhân lực</t>
        </is>
      </c>
    </row>
    <row r="18">
      <c r="A18" s="34" t="n">
        <v>8</v>
      </c>
      <c r="B18" s="34" t="inlineStr">
        <is>
          <t>7810201</t>
        </is>
      </c>
      <c r="C18" s="34" t="inlineStr">
        <is>
          <t>Quản trị khách sạn</t>
        </is>
      </c>
    </row>
    <row r="19">
      <c r="A19" s="34" t="n">
        <v>9</v>
      </c>
      <c r="B19" s="34" t="inlineStr">
        <is>
          <t>7810103</t>
        </is>
      </c>
      <c r="C19" s="34" t="inlineStr">
        <is>
          <t>Quản trị dịch vụ du lịch và lữ hành</t>
        </is>
      </c>
    </row>
    <row r="20">
      <c r="A20" s="34" t="n">
        <v>10</v>
      </c>
      <c r="B20" s="34" t="inlineStr">
        <is>
          <t>7510605</t>
        </is>
      </c>
      <c r="C20" s="34" t="inlineStr">
        <is>
          <t>Logistics và quản lý chuỗi cung ứng</t>
        </is>
      </c>
    </row>
    <row r="21">
      <c r="A21" s="34" t="n">
        <v>11</v>
      </c>
      <c r="B21" s="34" t="inlineStr">
        <is>
          <t>7340122</t>
        </is>
      </c>
      <c r="C21" s="34" t="inlineStr">
        <is>
          <t>Thương mại điện tử</t>
        </is>
      </c>
    </row>
    <row r="22">
      <c r="A22" s="34" t="n">
        <v>12</v>
      </c>
      <c r="B22" s="34" t="inlineStr">
        <is>
          <t>7340201</t>
        </is>
      </c>
      <c r="C22" s="34" t="inlineStr">
        <is>
          <t>Tài chính - ngân hàng</t>
        </is>
      </c>
    </row>
    <row r="23">
      <c r="A23" s="34" t="n">
        <v>13</v>
      </c>
      <c r="B23" s="34" t="inlineStr">
        <is>
          <t>7340205</t>
        </is>
      </c>
      <c r="C23" s="34" t="inlineStr">
        <is>
          <t>Công nghệ tài chính</t>
        </is>
      </c>
    </row>
    <row r="24">
      <c r="A24" s="34" t="n">
        <v>14</v>
      </c>
      <c r="B24" s="34" t="inlineStr">
        <is>
          <t>7340301</t>
        </is>
      </c>
      <c r="C24" s="34" t="inlineStr">
        <is>
          <t>Kế toán</t>
        </is>
      </c>
    </row>
    <row r="25">
      <c r="A25" s="34" t="n">
        <v>15</v>
      </c>
      <c r="B25" s="34" t="inlineStr">
        <is>
          <t>7340302</t>
        </is>
      </c>
      <c r="C25" s="34" t="inlineStr">
        <is>
          <t>Kiểm toán</t>
        </is>
      </c>
    </row>
    <row r="26">
      <c r="A26" s="34" t="n">
        <v>16</v>
      </c>
      <c r="B26" s="34" t="inlineStr">
        <is>
          <t>7480201</t>
        </is>
      </c>
      <c r="C26" s="34" t="inlineStr">
        <is>
          <t>Công nghệ thông tin</t>
        </is>
      </c>
    </row>
    <row r="27">
      <c r="A27" s="34" t="n">
        <v>17</v>
      </c>
      <c r="B27" s="34" t="inlineStr">
        <is>
          <t>7480103</t>
        </is>
      </c>
      <c r="C27" s="34" t="inlineStr">
        <is>
          <t>Kỹ thuật phần mềm</t>
        </is>
      </c>
    </row>
    <row r="28">
      <c r="A28" s="34" t="n">
        <v>18</v>
      </c>
      <c r="B28" s="34" t="inlineStr">
        <is>
          <t>7460108</t>
        </is>
      </c>
      <c r="C28" s="34" t="inlineStr">
        <is>
          <t>Khoa học dữ liệu</t>
        </is>
      </c>
    </row>
    <row r="29">
      <c r="A29" s="34" t="n">
        <v>19</v>
      </c>
      <c r="B29" s="34" t="inlineStr">
        <is>
          <t>7220201</t>
        </is>
      </c>
      <c r="C29" s="34" t="inlineStr">
        <is>
          <t>Ngôn ngữ Anh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uef.edu.vn/" r:id="rId2"/>
    <hyperlink xmlns:r="http://schemas.openxmlformats.org/officeDocument/2006/relationships" ref="B6" display="https://tuyensinh.uef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6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Hoa Sen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https://hoasen.edu.vn/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https://tuyensinh.hoasen.edu.vn/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2025. Nguồn: tổng hợp.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7340101</t>
        </is>
      </c>
      <c r="C11" s="34" t="inlineStr">
        <is>
          <t>Quản trị kinh doanh</t>
        </is>
      </c>
    </row>
    <row r="12">
      <c r="A12" s="34" t="n">
        <v>2</v>
      </c>
      <c r="B12" s="34" t="inlineStr">
        <is>
          <t>7340115</t>
        </is>
      </c>
      <c r="C12" s="34" t="inlineStr">
        <is>
          <t>Marketing</t>
        </is>
      </c>
    </row>
    <row r="13">
      <c r="A13" s="34" t="n">
        <v>3</v>
      </c>
      <c r="B13" s="34" t="inlineStr">
        <is>
          <t>7340120</t>
        </is>
      </c>
      <c r="C13" s="34" t="inlineStr">
        <is>
          <t>Kinh doanh quốc tế</t>
        </is>
      </c>
    </row>
    <row r="14">
      <c r="A14" s="34" t="n">
        <v>4</v>
      </c>
      <c r="B14" s="34" t="inlineStr">
        <is>
          <t>7340201</t>
        </is>
      </c>
      <c r="C14" s="34" t="inlineStr">
        <is>
          <t>Tài chính - Ngân hàng</t>
        </is>
      </c>
    </row>
    <row r="15">
      <c r="A15" s="34" t="n">
        <v>5</v>
      </c>
      <c r="B15" s="34" t="inlineStr">
        <is>
          <t>7340301</t>
        </is>
      </c>
      <c r="C15" s="34" t="inlineStr">
        <is>
          <t>Kế toán</t>
        </is>
      </c>
    </row>
    <row r="16">
      <c r="A16" s="34" t="n">
        <v>6</v>
      </c>
      <c r="B16" s="34" t="inlineStr">
        <is>
          <t>7480201</t>
        </is>
      </c>
      <c r="C16" s="34" t="inlineStr">
        <is>
          <t>Công nghệ thông tin</t>
        </is>
      </c>
    </row>
    <row r="17">
      <c r="A17" s="34" t="n">
        <v>7</v>
      </c>
      <c r="B17" s="34" t="inlineStr">
        <is>
          <t>7220201</t>
        </is>
      </c>
      <c r="C17" s="34" t="inlineStr">
        <is>
          <t>Ngôn ngữ Anh</t>
        </is>
      </c>
    </row>
    <row r="18">
      <c r="A18" s="34" t="n">
        <v>8</v>
      </c>
      <c r="B18" s="34" t="inlineStr">
        <is>
          <t>7810103</t>
        </is>
      </c>
      <c r="C18" s="34" t="inlineStr">
        <is>
          <t>Quản trị dịch vụ du lịch và lữ hành</t>
        </is>
      </c>
    </row>
    <row r="19">
      <c r="A19" s="34" t="n">
        <v>9</v>
      </c>
      <c r="B19" s="34" t="inlineStr">
        <is>
          <t>7810201</t>
        </is>
      </c>
      <c r="C19" s="34" t="inlineStr">
        <is>
          <t>Quản trị khách sạn</t>
        </is>
      </c>
    </row>
    <row r="20">
      <c r="A20" s="34" t="n">
        <v>10</v>
      </c>
      <c r="B20" s="34" t="inlineStr">
        <is>
          <t>7380101</t>
        </is>
      </c>
      <c r="C20" s="34" t="inlineStr">
        <is>
          <t>Luật</t>
        </is>
      </c>
    </row>
    <row r="21">
      <c r="A21" s="34" t="n">
        <v>11</v>
      </c>
      <c r="B21" s="34" t="inlineStr">
        <is>
          <t>7210403</t>
        </is>
      </c>
      <c r="C21" s="34" t="inlineStr">
        <is>
          <t>Thiết kế đồ họa</t>
        </is>
      </c>
    </row>
    <row r="22">
      <c r="A22" s="34" t="n">
        <v>12</v>
      </c>
      <c r="B22" s="34" t="inlineStr">
        <is>
          <t>7510605</t>
        </is>
      </c>
      <c r="C22" s="34" t="inlineStr">
        <is>
          <t>Logistics và quản lý chuỗi cung ứng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hoasen.edu.vn/" r:id="rId2"/>
    <hyperlink xmlns:r="http://schemas.openxmlformats.org/officeDocument/2006/relationships" ref="B6" display="https://tuyensinh.hoasen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7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Nguyễn Tất Thành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https://ntt.edu.vn/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https://tuyensinh.ntt.edu.vn/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2025-2026. Nguồn: các trang tuyển sinh NTT.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7420201</t>
        </is>
      </c>
      <c r="C11" s="34" t="inlineStr">
        <is>
          <t>Công nghệ sinh học</t>
        </is>
      </c>
    </row>
    <row r="12">
      <c r="A12" s="34" t="n">
        <v>2</v>
      </c>
      <c r="B12" s="34" t="inlineStr">
        <is>
          <t>7480103</t>
        </is>
      </c>
      <c r="C12" s="34" t="inlineStr">
        <is>
          <t>Kỹ thuật phần mềm</t>
        </is>
      </c>
    </row>
    <row r="13">
      <c r="A13" s="34" t="n">
        <v>3</v>
      </c>
      <c r="B13" s="34" t="inlineStr">
        <is>
          <t>7480201</t>
        </is>
      </c>
      <c r="C13" s="34" t="inlineStr">
        <is>
          <t>Công nghệ thông tin</t>
        </is>
      </c>
    </row>
    <row r="14">
      <c r="A14" s="34" t="n">
        <v>4</v>
      </c>
      <c r="B14" s="34" t="inlineStr">
        <is>
          <t>7480101</t>
        </is>
      </c>
      <c r="C14" s="34" t="inlineStr">
        <is>
          <t>Khoa học máy tính</t>
        </is>
      </c>
    </row>
    <row r="15">
      <c r="A15" s="34" t="n">
        <v>5</v>
      </c>
      <c r="B15" s="34" t="inlineStr">
        <is>
          <t>7480107</t>
        </is>
      </c>
      <c r="C15" s="34" t="inlineStr">
        <is>
          <t>Trí tuệ nhân tạo</t>
        </is>
      </c>
    </row>
    <row r="16">
      <c r="A16" s="34" t="n">
        <v>6</v>
      </c>
      <c r="B16" s="34" t="inlineStr">
        <is>
          <t>7510301</t>
        </is>
      </c>
      <c r="C16" s="34" t="inlineStr">
        <is>
          <t>Công nghệ kỹ thuật điện, điện tử</t>
        </is>
      </c>
    </row>
    <row r="17">
      <c r="A17" s="34" t="n">
        <v>7</v>
      </c>
      <c r="B17" s="34" t="inlineStr">
        <is>
          <t>7510203</t>
        </is>
      </c>
      <c r="C17" s="34" t="inlineStr">
        <is>
          <t>Công nghệ kỹ thuật cơ điện tử</t>
        </is>
      </c>
    </row>
    <row r="18">
      <c r="A18" s="34" t="n">
        <v>8</v>
      </c>
      <c r="B18" s="34" t="inlineStr">
        <is>
          <t>7520103</t>
        </is>
      </c>
      <c r="C18" s="34" t="inlineStr">
        <is>
          <t>Kỹ thuật cơ khí</t>
        </is>
      </c>
    </row>
    <row r="19">
      <c r="A19" s="34" t="n">
        <v>9</v>
      </c>
      <c r="B19" s="34" t="inlineStr">
        <is>
          <t>7340101</t>
        </is>
      </c>
      <c r="C19" s="34" t="inlineStr">
        <is>
          <t>Quản trị kinh doanh</t>
        </is>
      </c>
    </row>
    <row r="20">
      <c r="A20" s="34" t="n">
        <v>10</v>
      </c>
      <c r="B20" s="34" t="inlineStr">
        <is>
          <t>7720101</t>
        </is>
      </c>
      <c r="C20" s="34" t="inlineStr">
        <is>
          <t>Y khoa</t>
        </is>
      </c>
    </row>
    <row r="21">
      <c r="A21" s="34" t="n">
        <v>11</v>
      </c>
      <c r="B21" s="34" t="inlineStr">
        <is>
          <t>7210403</t>
        </is>
      </c>
      <c r="C21" s="34" t="inlineStr">
        <is>
          <t>Thiết kế đồ họa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ntt.edu.vn/" r:id="rId2"/>
    <hyperlink xmlns:r="http://schemas.openxmlformats.org/officeDocument/2006/relationships" ref="B6" display="https://tuyensinh.ntt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8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Văn Lang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https://vanlanguni.edu.vn/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https://tuyensinh.vanlanguni.edu.vn/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các trang tuyển sinh.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7210205</t>
        </is>
      </c>
      <c r="C11" s="34" t="inlineStr">
        <is>
          <t>Thanh nhạc</t>
        </is>
      </c>
    </row>
    <row r="12">
      <c r="A12" s="34" t="n">
        <v>2</v>
      </c>
      <c r="B12" s="34" t="inlineStr">
        <is>
          <t>7210403</t>
        </is>
      </c>
      <c r="C12" s="34" t="inlineStr">
        <is>
          <t>Thiết kế đồ họa</t>
        </is>
      </c>
    </row>
    <row r="13">
      <c r="A13" s="34" t="n">
        <v>3</v>
      </c>
      <c r="B13" s="34" t="inlineStr">
        <is>
          <t>7210404</t>
        </is>
      </c>
      <c r="C13" s="34" t="inlineStr">
        <is>
          <t>Thiết kế thời trang</t>
        </is>
      </c>
    </row>
    <row r="14">
      <c r="A14" s="34" t="n">
        <v>4</v>
      </c>
      <c r="B14" s="34" t="inlineStr">
        <is>
          <t>7220201</t>
        </is>
      </c>
      <c r="C14" s="34" t="inlineStr">
        <is>
          <t>Ngôn ngữ Anh</t>
        </is>
      </c>
    </row>
    <row r="15">
      <c r="A15" s="34" t="n">
        <v>5</v>
      </c>
      <c r="B15" s="34" t="inlineStr">
        <is>
          <t>7220204</t>
        </is>
      </c>
      <c r="C15" s="34" t="inlineStr">
        <is>
          <t>Ngôn ngữ Trung Quốc</t>
        </is>
      </c>
    </row>
    <row r="16">
      <c r="A16" s="34" t="n">
        <v>6</v>
      </c>
      <c r="B16" s="34" t="inlineStr">
        <is>
          <t>7310401</t>
        </is>
      </c>
      <c r="C16" s="34" t="inlineStr">
        <is>
          <t>Tâm lý học</t>
        </is>
      </c>
    </row>
    <row r="17">
      <c r="A17" s="34" t="n">
        <v>7</v>
      </c>
      <c r="B17" s="34" t="inlineStr">
        <is>
          <t>7340101</t>
        </is>
      </c>
      <c r="C17" s="34" t="inlineStr">
        <is>
          <t>Quản trị kinh doanh</t>
        </is>
      </c>
    </row>
    <row r="18">
      <c r="A18" s="34" t="n">
        <v>8</v>
      </c>
      <c r="B18" s="34" t="inlineStr">
        <is>
          <t>7340115</t>
        </is>
      </c>
      <c r="C18" s="34" t="inlineStr">
        <is>
          <t>Marketing</t>
        </is>
      </c>
    </row>
    <row r="19">
      <c r="A19" s="34" t="n">
        <v>9</v>
      </c>
      <c r="B19" s="34" t="inlineStr">
        <is>
          <t>7340120</t>
        </is>
      </c>
      <c r="C19" s="34" t="inlineStr">
        <is>
          <t>Kinh doanh quốc tế</t>
        </is>
      </c>
    </row>
    <row r="20">
      <c r="A20" s="34" t="n">
        <v>10</v>
      </c>
      <c r="B20" s="34" t="inlineStr">
        <is>
          <t>7340122</t>
        </is>
      </c>
      <c r="C20" s="34" t="inlineStr">
        <is>
          <t>Thương mại điện tử</t>
        </is>
      </c>
    </row>
    <row r="21">
      <c r="A21" s="34" t="n">
        <v>11</v>
      </c>
      <c r="B21" s="34" t="inlineStr">
        <is>
          <t>7340201</t>
        </is>
      </c>
      <c r="C21" s="34" t="inlineStr">
        <is>
          <t>Tài chính - Ngân hàng</t>
        </is>
      </c>
    </row>
    <row r="22">
      <c r="A22" s="34" t="n">
        <v>12</v>
      </c>
      <c r="B22" s="34" t="inlineStr">
        <is>
          <t>7340301</t>
        </is>
      </c>
      <c r="C22" s="34" t="inlineStr">
        <is>
          <t>Kế toán</t>
        </is>
      </c>
    </row>
    <row r="23">
      <c r="A23" s="34" t="n">
        <v>13</v>
      </c>
      <c r="B23" s="34" t="inlineStr">
        <is>
          <t>7380101</t>
        </is>
      </c>
      <c r="C23" s="34" t="inlineStr">
        <is>
          <t>Luật</t>
        </is>
      </c>
    </row>
    <row r="24">
      <c r="A24" s="34" t="n">
        <v>14</v>
      </c>
      <c r="B24" s="34" t="inlineStr">
        <is>
          <t>7480201</t>
        </is>
      </c>
      <c r="C24" s="34" t="inlineStr">
        <is>
          <t>Công nghệ thông tin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vanlanguni.edu.vn/" r:id="rId2"/>
    <hyperlink xmlns:r="http://schemas.openxmlformats.org/officeDocument/2006/relationships" ref="B6" display="https://tuyensinh.vanlanguni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9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Việt - Đức (VGU)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Bình Dương</t>
        </is>
      </c>
    </row>
    <row r="5" ht="15" customHeight="1" s="35">
      <c r="A5" s="66" t="inlineStr">
        <is>
          <t>Trang chủ:</t>
        </is>
      </c>
      <c r="B5" s="65" t="inlineStr">
        <is>
          <t>https://vgu.edu.vn/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https://tuyensinh.vgu.edu.vn/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2026. Nguồn: các trang tuyển sinh VGU.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7340101</t>
        </is>
      </c>
      <c r="C11" s="34" t="inlineStr">
        <is>
          <t>Quản trị kinh doanh (BBA)</t>
        </is>
      </c>
    </row>
    <row r="12">
      <c r="A12" s="34" t="n">
        <v>2</v>
      </c>
      <c r="B12" s="34" t="inlineStr">
        <is>
          <t>7340202</t>
        </is>
      </c>
      <c r="C12" s="34" t="inlineStr">
        <is>
          <t>Tài chính và Kế toán (BFA)</t>
        </is>
      </c>
    </row>
    <row r="13">
      <c r="A13" s="34" t="n">
        <v>3</v>
      </c>
      <c r="B13" s="34" t="inlineStr">
        <is>
          <t>7480101</t>
        </is>
      </c>
      <c r="C13" s="34" t="inlineStr">
        <is>
          <t>Khoa học máy tính (CSE)</t>
        </is>
      </c>
    </row>
    <row r="14">
      <c r="A14" s="34" t="n">
        <v>4</v>
      </c>
      <c r="B14" s="34" t="inlineStr">
        <is>
          <t>7510104</t>
        </is>
      </c>
      <c r="C14" s="34" t="inlineStr">
        <is>
          <t>Kỹ thuật Giao thông thông minh (SME)</t>
        </is>
      </c>
    </row>
    <row r="15">
      <c r="A15" s="34" t="n">
        <v>5</v>
      </c>
      <c r="B15" s="34" t="inlineStr">
        <is>
          <t>7510206</t>
        </is>
      </c>
      <c r="C15" s="34" t="inlineStr">
        <is>
          <t>Kỹ thuật quy trình và môi trường (EPE)</t>
        </is>
      </c>
    </row>
    <row r="16">
      <c r="A16" s="34" t="n">
        <v>6</v>
      </c>
      <c r="B16" s="34" t="inlineStr">
        <is>
          <t>7520103</t>
        </is>
      </c>
      <c r="C16" s="34" t="inlineStr">
        <is>
          <t>Kỹ thuật cơ khí (MEN)</t>
        </is>
      </c>
    </row>
    <row r="17">
      <c r="A17" s="34" t="n">
        <v>7</v>
      </c>
      <c r="B17" s="34" t="inlineStr">
        <is>
          <t>7520208</t>
        </is>
      </c>
      <c r="C17" s="34" t="inlineStr">
        <is>
          <t>Kỹ thuật điện và máy tính (ECE)</t>
        </is>
      </c>
    </row>
    <row r="18">
      <c r="A18" s="34" t="n">
        <v>8</v>
      </c>
      <c r="B18" s="34" t="inlineStr">
        <is>
          <t>7580101</t>
        </is>
      </c>
      <c r="C18" s="34" t="inlineStr">
        <is>
          <t>Kiến trúc (ARC)</t>
        </is>
      </c>
    </row>
    <row r="19">
      <c r="A19" s="34" t="n">
        <v>9</v>
      </c>
      <c r="B19" s="34" t="inlineStr">
        <is>
          <t>7580201</t>
        </is>
      </c>
      <c r="C19" s="34" t="inlineStr">
        <is>
          <t>Kỹ thuật và quản lý xây dựng (BCE)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vgu.edu.vn/" r:id="rId2"/>
    <hyperlink xmlns:r="http://schemas.openxmlformats.org/officeDocument/2006/relationships" ref="B6" display="https://tuyensinh.vg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0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Thủ Dầu Một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Bình Dương</t>
        </is>
      </c>
    </row>
    <row r="5" ht="15" customHeight="1" s="35">
      <c r="A5" s="66" t="inlineStr">
        <is>
          <t>Trang chủ:</t>
        </is>
      </c>
      <c r="B5" s="65" t="inlineStr">
        <is>
          <t>https://tdmu.edu.vn/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https://tuyensinh.tdmu.edu.vn/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tiêu biểu 2026. Nguồn: thông tin tuyển sinh.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s="34" t="n">
        <v>1</v>
      </c>
      <c r="B11" s="34" t="inlineStr">
        <is>
          <t>7420201</t>
        </is>
      </c>
      <c r="C11" s="34" t="inlineStr">
        <is>
          <t>Công nghệ sinh học</t>
        </is>
      </c>
    </row>
    <row r="12">
      <c r="A12" s="34" t="n">
        <v>2</v>
      </c>
      <c r="B12" s="34" t="inlineStr">
        <is>
          <t>7440112</t>
        </is>
      </c>
      <c r="C12" s="34" t="inlineStr">
        <is>
          <t>Hóa học</t>
        </is>
      </c>
    </row>
    <row r="13">
      <c r="A13" s="34" t="n">
        <v>3</v>
      </c>
      <c r="B13" s="34" t="inlineStr">
        <is>
          <t>7440102</t>
        </is>
      </c>
      <c r="C13" s="34" t="inlineStr">
        <is>
          <t>Vật lý học</t>
        </is>
      </c>
    </row>
    <row r="14">
      <c r="A14" s="34" t="n">
        <v>4</v>
      </c>
      <c r="B14" s="34" t="inlineStr">
        <is>
          <t>7460101</t>
        </is>
      </c>
      <c r="C14" s="34" t="inlineStr">
        <is>
          <t>Toán học</t>
        </is>
      </c>
    </row>
    <row r="15">
      <c r="A15" s="34" t="n">
        <v>5</v>
      </c>
      <c r="B15" s="34" t="inlineStr">
        <is>
          <t>7480103</t>
        </is>
      </c>
      <c r="C15" s="34" t="inlineStr">
        <is>
          <t>Kỹ thuật phần mềm</t>
        </is>
      </c>
    </row>
    <row r="16">
      <c r="A16" s="34" t="n">
        <v>6</v>
      </c>
      <c r="B16" s="34" t="inlineStr">
        <is>
          <t>7480201</t>
        </is>
      </c>
      <c r="C16" s="34" t="inlineStr">
        <is>
          <t>Công nghệ thông tin</t>
        </is>
      </c>
    </row>
    <row r="17">
      <c r="A17" s="34" t="n">
        <v>7</v>
      </c>
      <c r="B17" s="34" t="inlineStr">
        <is>
          <t>7480107</t>
        </is>
      </c>
      <c r="C17" s="34" t="inlineStr">
        <is>
          <t>Trí tuệ nhân tạo</t>
        </is>
      </c>
    </row>
    <row r="18">
      <c r="A18" s="34" t="n">
        <v>8</v>
      </c>
      <c r="B18" s="34" t="inlineStr">
        <is>
          <t>7460108</t>
        </is>
      </c>
      <c r="C18" s="34" t="inlineStr">
        <is>
          <t>Khoa học dữ liệu</t>
        </is>
      </c>
    </row>
    <row r="19">
      <c r="A19" s="34" t="n">
        <v>9</v>
      </c>
      <c r="B19" s="34" t="inlineStr">
        <is>
          <t>7520103</t>
        </is>
      </c>
      <c r="C19" s="34" t="inlineStr">
        <is>
          <t>Kỹ thuật cơ khí</t>
        </is>
      </c>
    </row>
    <row r="20">
      <c r="A20" s="34" t="n">
        <v>10</v>
      </c>
      <c r="B20" s="34" t="inlineStr">
        <is>
          <t>7520114</t>
        </is>
      </c>
      <c r="C20" s="34" t="inlineStr">
        <is>
          <t>Kỹ thuật cơ điện tử</t>
        </is>
      </c>
    </row>
    <row r="21">
      <c r="A21" s="34" t="n">
        <v>11</v>
      </c>
      <c r="B21" s="34" t="inlineStr">
        <is>
          <t>7520201</t>
        </is>
      </c>
      <c r="C21" s="34" t="inlineStr">
        <is>
          <t>Kỹ thuật điện</t>
        </is>
      </c>
    </row>
    <row r="22">
      <c r="A22" s="34" t="n">
        <v>12</v>
      </c>
      <c r="B22" s="34" t="inlineStr">
        <is>
          <t>7520216</t>
        </is>
      </c>
      <c r="C22" s="34" t="inlineStr">
        <is>
          <t>Kỹ thuật điều khiển và tự động hóa</t>
        </is>
      </c>
    </row>
    <row r="23">
      <c r="A23" s="34" t="n">
        <v>13</v>
      </c>
      <c r="B23" s="34" t="inlineStr">
        <is>
          <t>7520320</t>
        </is>
      </c>
      <c r="C23" s="34" t="inlineStr">
        <is>
          <t>Kỹ thuật môi trường</t>
        </is>
      </c>
    </row>
    <row r="24">
      <c r="A24" s="34" t="n">
        <v>14</v>
      </c>
      <c r="B24" s="34" t="inlineStr">
        <is>
          <t>7580201</t>
        </is>
      </c>
      <c r="C24" s="34" t="inlineStr">
        <is>
          <t>Kỹ thuật xây dựng</t>
        </is>
      </c>
    </row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tdmu.edu.vn/" r:id="rId2"/>
    <hyperlink xmlns:r="http://schemas.openxmlformats.org/officeDocument/2006/relationships" ref="B6" display="https://tuyensinh.tdm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1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Sĩ quan Công binh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Bình Dương</t>
        </is>
      </c>
    </row>
    <row r="5" ht="15" customHeight="1" s="35">
      <c r="A5" s="66" t="inlineStr">
        <is>
          <t>Trang chủ:</t>
        </is>
      </c>
      <c r="B5" s="65" t="inlineStr">
        <is>
          <t>https://truongcongbinh.edu.vn/</t>
        </is>
      </c>
    </row>
    <row r="6" ht="15" customHeight="1" s="35">
      <c r="A6" s="66" t="inlineStr">
        <is>
          <t>Trang tuyển sinh:</t>
        </is>
      </c>
      <c r="B6" s="67" t="inlineStr">
        <is>
          <t>Trang tuyển sinh quân sự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(tổng hợp).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t="n">
        <v>1</v>
      </c>
      <c r="B11" t="inlineStr">
        <is>
          <t>7860103</t>
        </is>
      </c>
      <c r="C11" t="inlineStr">
        <is>
          <t>Chỉ huy - Tham mưu Công binh</t>
        </is>
      </c>
    </row>
    <row r="12"/>
    <row r="13"/>
    <row r="14"/>
    <row r="15"/>
    <row r="16"/>
    <row r="17"/>
    <row r="18"/>
    <row r="19"/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truongcongbinh.edu.vn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2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An ninh nhân dân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https://dhanninh.edu.vn/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https://tuyensinh.dhanninh.edu.vn/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(tổng hợp).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t="n">
        <v>1</v>
      </c>
      <c r="B11" t="inlineStr">
        <is>
          <t>7860201</t>
        </is>
      </c>
      <c r="C11" t="inlineStr">
        <is>
          <t>An ninh / Trinh sát</t>
        </is>
      </c>
    </row>
    <row r="12"/>
    <row r="13"/>
    <row r="14"/>
    <row r="15"/>
    <row r="16"/>
    <row r="17"/>
    <row r="18"/>
    <row r="19"/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dhanninh.edu.vn/" r:id="rId2"/>
    <hyperlink xmlns:r="http://schemas.openxmlformats.org/officeDocument/2006/relationships" ref="B6" display="https://tuyensinh.dhanninh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3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Cảnh sát nhân dân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TP. Hồ Chí Minh</t>
        </is>
      </c>
    </row>
    <row r="4" ht="15" customHeight="1" s="35">
      <c r="A4" s="66" t="inlineStr">
        <is>
          <t>Tỉnh/TP (cũ):</t>
        </is>
      </c>
      <c r="B4" s="67" t="inlineStr">
        <is>
          <t>TP. Hồ Chí Minh</t>
        </is>
      </c>
    </row>
    <row r="5" ht="15" customHeight="1" s="35">
      <c r="A5" s="66" t="inlineStr">
        <is>
          <t>Trang chủ:</t>
        </is>
      </c>
      <c r="B5" s="65" t="inlineStr">
        <is>
          <t>https://dhcsnd.edu.vn/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https://tuyensinh.dhcsnd.edu.vn/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(tổng hợp).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t="n">
        <v>1</v>
      </c>
      <c r="B11" t="inlineStr">
        <is>
          <t>7860204</t>
        </is>
      </c>
      <c r="C11" t="inlineStr">
        <is>
          <t>Cảnh sát / Trật tự</t>
        </is>
      </c>
    </row>
    <row r="12"/>
    <row r="13"/>
    <row r="14"/>
    <row r="15"/>
    <row r="16"/>
    <row r="17"/>
    <row r="18"/>
    <row r="19"/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dhcsnd.edu.vn/" r:id="rId2"/>
    <hyperlink xmlns:r="http://schemas.openxmlformats.org/officeDocument/2006/relationships" ref="B6" display="https://tuyensinh.dhcsnd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4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Lạc Hồng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Đồng Nai</t>
        </is>
      </c>
    </row>
    <row r="4" ht="15" customHeight="1" s="35">
      <c r="A4" s="66" t="inlineStr">
        <is>
          <t>Tỉnh/TP (cũ):</t>
        </is>
      </c>
      <c r="B4" s="67" t="inlineStr">
        <is>
          <t>Đồng Nai</t>
        </is>
      </c>
    </row>
    <row r="5" ht="15" customHeight="1" s="35">
      <c r="A5" s="66" t="inlineStr">
        <is>
          <t>Trang chủ:</t>
        </is>
      </c>
      <c r="B5" s="65" t="inlineStr">
        <is>
          <t>https://lhu.edu.vn/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https://tuyensinh.lhu.edu.vn/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(tổng hợp).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t="n">
        <v>1</v>
      </c>
      <c r="B11" t="inlineStr">
        <is>
          <t>7480201</t>
        </is>
      </c>
      <c r="C11" t="inlineStr">
        <is>
          <t>Công nghệ thông tin</t>
        </is>
      </c>
    </row>
    <row r="12">
      <c r="A12" t="n">
        <v>2</v>
      </c>
      <c r="B12" t="inlineStr">
        <is>
          <t>7340101</t>
        </is>
      </c>
      <c r="C12" t="inlineStr">
        <is>
          <t>Quản trị kinh doanh</t>
        </is>
      </c>
    </row>
    <row r="13">
      <c r="A13" t="n">
        <v>3</v>
      </c>
      <c r="B13" t="inlineStr">
        <is>
          <t>7340301</t>
        </is>
      </c>
      <c r="C13" t="inlineStr">
        <is>
          <t>Kế toán</t>
        </is>
      </c>
    </row>
    <row r="14">
      <c r="A14" t="n">
        <v>4</v>
      </c>
      <c r="B14" t="inlineStr">
        <is>
          <t>7220201</t>
        </is>
      </c>
      <c r="C14" t="inlineStr">
        <is>
          <t>Ngôn ngữ Anh</t>
        </is>
      </c>
    </row>
    <row r="15">
      <c r="A15" t="n">
        <v>5</v>
      </c>
      <c r="B15" t="inlineStr">
        <is>
          <t>7510205</t>
        </is>
      </c>
      <c r="C15" t="inlineStr">
        <is>
          <t>Công nghệ kỹ thuật ô tô</t>
        </is>
      </c>
    </row>
    <row r="16"/>
    <row r="17"/>
    <row r="18"/>
    <row r="19"/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lhu.edu.vn/" r:id="rId2"/>
    <hyperlink xmlns:r="http://schemas.openxmlformats.org/officeDocument/2006/relationships" ref="B6" display="https://tuyensinh.lh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5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Sĩ quan Lục quân 2 (Đại học Nguyễn Huệ)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Đồng Nai</t>
        </is>
      </c>
    </row>
    <row r="4" ht="15" customHeight="1" s="35">
      <c r="A4" s="66" t="inlineStr">
        <is>
          <t>Tỉnh/TP (cũ):</t>
        </is>
      </c>
      <c r="B4" s="67" t="inlineStr">
        <is>
          <t>Đồng Nai</t>
        </is>
      </c>
    </row>
    <row r="5" ht="15" customHeight="1" s="35">
      <c r="A5" s="66" t="inlineStr">
        <is>
          <t>Trang chủ:</t>
        </is>
      </c>
      <c r="B5" s="65" t="inlineStr">
        <is>
          <t>https://daihocnguyenHue.edu.vn/</t>
        </is>
      </c>
    </row>
    <row r="6" ht="15" customHeight="1" s="35">
      <c r="A6" s="66" t="inlineStr">
        <is>
          <t>Trang tuyển sinh:</t>
        </is>
      </c>
      <c r="B6" s="67" t="inlineStr">
        <is>
          <t>Trang tuyển sinh quân sự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(tổng hợp).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t="n">
        <v>1</v>
      </c>
      <c r="B11" t="inlineStr">
        <is>
          <t>7860100</t>
        </is>
      </c>
      <c r="C11" t="inlineStr">
        <is>
          <t>Chỉ huy - Tham mưu Lục quân</t>
        </is>
      </c>
    </row>
    <row r="12"/>
    <row r="13"/>
    <row r="14"/>
    <row r="15"/>
    <row r="16"/>
    <row r="17"/>
    <row r="18"/>
    <row r="19"/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daihocnguyenHue.edu.vn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6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Đại học Cần Thơ (CTU)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Miền Nam</t>
        </is>
      </c>
    </row>
    <row r="3" ht="15" customHeight="1" s="35">
      <c r="A3" s="66" t="inlineStr">
        <is>
          <t>Tỉnh/TP (mới):</t>
        </is>
      </c>
      <c r="B3" s="67" t="inlineStr">
        <is>
          <t>Cần Thơ</t>
        </is>
      </c>
    </row>
    <row r="4" ht="15" customHeight="1" s="35">
      <c r="A4" s="66" t="inlineStr">
        <is>
          <t>Tỉnh/TP (cũ):</t>
        </is>
      </c>
      <c r="B4" s="67" t="inlineStr">
        <is>
          <t>Cần Thơ</t>
        </is>
      </c>
    </row>
    <row r="5" ht="15" customHeight="1" s="35">
      <c r="A5" s="66" t="inlineStr">
        <is>
          <t>Trang chủ:</t>
        </is>
      </c>
      <c r="B5" s="65" t="inlineStr">
        <is>
          <t>https://ctu.edu.vn/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https://tuyensinh.ctu.edu.vn/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(tổng hợp).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t="n">
        <v>1</v>
      </c>
      <c r="B11" t="inlineStr">
        <is>
          <t>7480201</t>
        </is>
      </c>
      <c r="C11" t="inlineStr">
        <is>
          <t>Công nghệ thông tin</t>
        </is>
      </c>
    </row>
    <row r="12">
      <c r="A12" t="n">
        <v>2</v>
      </c>
      <c r="B12" t="inlineStr">
        <is>
          <t>7340101</t>
        </is>
      </c>
      <c r="C12" t="inlineStr">
        <is>
          <t>Quản trị kinh doanh</t>
        </is>
      </c>
    </row>
    <row r="13">
      <c r="A13" t="n">
        <v>3</v>
      </c>
      <c r="B13" t="inlineStr">
        <is>
          <t>7420201</t>
        </is>
      </c>
      <c r="C13" t="inlineStr">
        <is>
          <t>Công nghệ sinh học</t>
        </is>
      </c>
    </row>
    <row r="14">
      <c r="A14" t="n">
        <v>4</v>
      </c>
      <c r="B14" t="inlineStr">
        <is>
          <t>7540101</t>
        </is>
      </c>
      <c r="C14" t="inlineStr">
        <is>
          <t>Công nghệ thực phẩm</t>
        </is>
      </c>
    </row>
    <row r="15">
      <c r="A15" t="n">
        <v>5</v>
      </c>
      <c r="B15" t="inlineStr">
        <is>
          <t>7620301</t>
        </is>
      </c>
      <c r="C15" t="inlineStr">
        <is>
          <t>Nuôi trồng thủy sản</t>
        </is>
      </c>
    </row>
    <row r="16">
      <c r="A16" t="n">
        <v>6</v>
      </c>
      <c r="B16" t="inlineStr">
        <is>
          <t>7220201</t>
        </is>
      </c>
      <c r="C16" t="inlineStr">
        <is>
          <t>Ngôn ngữ Anh</t>
        </is>
      </c>
    </row>
    <row r="17">
      <c r="A17" t="n">
        <v>7</v>
      </c>
      <c r="B17" t="inlineStr">
        <is>
          <t>7720101</t>
        </is>
      </c>
      <c r="C17" t="inlineStr">
        <is>
          <t>Y khoa</t>
        </is>
      </c>
    </row>
    <row r="18"/>
    <row r="19"/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ctu.edu.vn/" r:id="rId2"/>
    <hyperlink xmlns:r="http://schemas.openxmlformats.org/officeDocument/2006/relationships" ref="B6" display="https://tuyensinh.ctu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7.xml><?xml version="1.0" encoding="utf-8"?>
<worksheet xmlns="http://schemas.openxmlformats.org/spreadsheetml/2006/main">
  <sheetPr filterMode="0">
    <tabColor rgb="FF7F7F7F"/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Trường Sĩ quan Kỹ thuật Quân sự (Đại học Trần Đại Nghĩa)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Chưa xác định</t>
        </is>
      </c>
    </row>
    <row r="3" ht="15" customHeight="1" s="35">
      <c r="A3" s="66" t="inlineStr">
        <is>
          <t>Tỉnh/TP (mới):</t>
        </is>
      </c>
      <c r="B3" s="67" t="inlineStr">
        <is>
          <t>Chưa xác định</t>
        </is>
      </c>
    </row>
    <row r="4" ht="15" customHeight="1" s="35">
      <c r="A4" s="66" t="inlineStr">
        <is>
          <t>Tỉnh/TP (cũ):</t>
        </is>
      </c>
      <c r="B4" s="67" t="inlineStr">
        <is>
          <t>Chưa xác định</t>
        </is>
      </c>
    </row>
    <row r="5" ht="15" customHeight="1" s="35">
      <c r="A5" s="66" t="inlineStr">
        <is>
          <t>Trang chủ:</t>
        </is>
      </c>
      <c r="B5" s="65" t="inlineStr">
        <is>
          <t>https://trandainghia.edu.vn/</t>
        </is>
      </c>
    </row>
    <row r="6" ht="15" customHeight="1" s="35">
      <c r="A6" s="66" t="inlineStr">
        <is>
          <t>Trang tuyển sinh:</t>
        </is>
      </c>
      <c r="B6" s="67" t="inlineStr">
        <is>
          <t>Trang tuyển sinh quân sự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(tổng hợp).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t="n">
        <v>1</v>
      </c>
      <c r="B11" t="inlineStr">
        <is>
          <t>7520100</t>
        </is>
      </c>
      <c r="C11" t="inlineStr">
        <is>
          <t>Kỹ thuật quân sự</t>
        </is>
      </c>
    </row>
    <row r="12"/>
    <row r="13"/>
    <row r="14"/>
    <row r="15"/>
    <row r="16"/>
    <row r="17"/>
    <row r="18"/>
    <row r="19"/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trandainghia.edu.vn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8.xml><?xml version="1.0" encoding="utf-8"?>
<worksheet xmlns="http://schemas.openxmlformats.org/spreadsheetml/2006/main">
  <sheetPr filterMode="0">
    <tabColor rgb="FF7F7F7F"/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34" min="1" max="1"/>
    <col width="14" customWidth="1" style="34" min="2" max="2"/>
    <col width="70" customWidth="1" style="34" min="3" max="3"/>
    <col width="18" customWidth="1" style="34" min="4" max="4"/>
  </cols>
  <sheetData>
    <row r="1" ht="16.15" customHeight="1" s="35">
      <c r="A1" s="64" t="inlineStr">
        <is>
          <t>Học viện Quốc tế (AIS)</t>
        </is>
      </c>
      <c r="D1" s="65" t="inlineStr">
        <is>
          <t>← Về Tổng quan</t>
        </is>
      </c>
    </row>
    <row r="2" ht="15" customHeight="1" s="35">
      <c r="A2" s="66" t="inlineStr">
        <is>
          <t>Miền:</t>
        </is>
      </c>
      <c r="B2" s="67" t="inlineStr">
        <is>
          <t>Chưa xác định</t>
        </is>
      </c>
    </row>
    <row r="3" ht="15" customHeight="1" s="35">
      <c r="A3" s="66" t="inlineStr">
        <is>
          <t>Tỉnh/TP (mới):</t>
        </is>
      </c>
      <c r="B3" s="67" t="inlineStr">
        <is>
          <t>Chưa xác định</t>
        </is>
      </c>
    </row>
    <row r="4" ht="15" customHeight="1" s="35">
      <c r="A4" s="66" t="inlineStr">
        <is>
          <t>Tỉnh/TP (cũ):</t>
        </is>
      </c>
      <c r="B4" s="67" t="inlineStr">
        <is>
          <t>Chưa xác định</t>
        </is>
      </c>
    </row>
    <row r="5" ht="15" customHeight="1" s="35">
      <c r="A5" s="66" t="inlineStr">
        <is>
          <t>Trang chủ:</t>
        </is>
      </c>
      <c r="B5" s="65" t="inlineStr">
        <is>
          <t>https://ais.edu.vn/</t>
        </is>
      </c>
    </row>
    <row r="6" ht="15" customHeight="1" s="35">
      <c r="A6" s="66" t="inlineStr">
        <is>
          <t>Trang tuyển sinh:</t>
        </is>
      </c>
      <c r="B6" s="65" t="inlineStr">
        <is>
          <t>https://tuyensinh.ais.edu.vn/</t>
        </is>
      </c>
    </row>
    <row r="7" ht="27.75" customHeight="1" s="35">
      <c r="A7" s="66" t="inlineStr">
        <is>
          <t>Nguồn/ghi chú:</t>
        </is>
      </c>
      <c r="B7" s="37" t="inlineStr">
        <is>
          <t>Danh sách ngành chính quy (tổng hợp). Cập nhật 10/2026.</t>
        </is>
      </c>
    </row>
    <row r="8" ht="12" customHeight="1" s="35"/>
    <row r="10" ht="15" customHeight="1" s="35">
      <c r="A10" s="68" t="inlineStr">
        <is>
          <t>STT</t>
        </is>
      </c>
      <c r="B10" s="68" t="inlineStr">
        <is>
          <t>Mã ngành</t>
        </is>
      </c>
      <c r="C10" s="68" t="inlineStr">
        <is>
          <t>Tên ngành (hệ chính quy)</t>
        </is>
      </c>
    </row>
    <row r="11">
      <c r="A11" t="n">
        <v>1</v>
      </c>
      <c r="B11" t="inlineStr">
        <is>
          <t>7220201</t>
        </is>
      </c>
      <c r="C11" t="inlineStr">
        <is>
          <t>Ngôn ngữ Anh</t>
        </is>
      </c>
    </row>
    <row r="12">
      <c r="A12" t="n">
        <v>2</v>
      </c>
      <c r="B12" t="inlineStr">
        <is>
          <t>7340101</t>
        </is>
      </c>
      <c r="C12" t="inlineStr">
        <is>
          <t>Quản trị kinh doanh</t>
        </is>
      </c>
    </row>
    <row r="13">
      <c r="A13" t="n">
        <v>3</v>
      </c>
      <c r="B13" t="inlineStr">
        <is>
          <t>7310601</t>
        </is>
      </c>
      <c r="C13" t="inlineStr">
        <is>
          <t>Quốc tế học</t>
        </is>
      </c>
    </row>
    <row r="14"/>
    <row r="15"/>
    <row r="16"/>
    <row r="17"/>
    <row r="18"/>
    <row r="19"/>
  </sheetData>
  <mergeCells count="1">
    <mergeCell ref="B7:D8"/>
  </mergeCells>
  <hyperlinks>
    <hyperlink xmlns:r="http://schemas.openxmlformats.org/officeDocument/2006/relationships" ref="D1" location="'Tổng%20quan'!A1" display="← Về Tổng quan" r:id="rId1"/>
    <hyperlink xmlns:r="http://schemas.openxmlformats.org/officeDocument/2006/relationships" ref="B5" display="https://ais.edu.vn/" r:id="rId2"/>
    <hyperlink xmlns:r="http://schemas.openxmlformats.org/officeDocument/2006/relationships" ref="B6" display="https://tuyensinh.ais.edu.vn/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2026-10-10T17:16:16Z</dcterms:created>
  <dcterms:modified xmlns:dcterms="http://purl.org/dc/terms/" xmlns:xsi="http://www.w3.org/2001/XMLSchema-instance" xsi:type="dcterms:W3CDTF">2026-10-12T08:19:06Z</dcterms:modified>
  <cp:revision>0</cp:revision>
</cp:coreProperties>
</file>